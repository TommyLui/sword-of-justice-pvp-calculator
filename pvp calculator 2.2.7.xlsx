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版本说明" sheetId="1" r:id="rId4"/>
    <sheet state="visible" name="属性输入" sheetId="2" r:id="rId5"/>
    <sheet state="visible" name="攻击提升收益" sheetId="3" r:id="rId6"/>
    <sheet state="visible" name="元素攻击提升收益" sheetId="4" r:id="rId7"/>
    <sheet state="visible" name="破防提升收益" sheetId="5" r:id="rId8"/>
    <sheet state="visible" name="命中提升收益" sheetId="6" r:id="rId9"/>
    <sheet state="visible" name="会心提升收益" sheetId="7" r:id="rId10"/>
  </sheets>
  <definedNames>
    <definedName hidden="1" localSheetId="1" name="_xlnm._FilterDatabase">'属性输入'!$O$23:$S$59</definedName>
  </definedNames>
  <calcPr/>
  <extLst>
    <ext uri="GoogleSheetsCustomDataVersion2">
      <go:sheetsCustomData xmlns:go="http://customooxmlschemas.google.com/" r:id="rId11" roundtripDataChecksum="p/dHIbjyG5EcLcJUvlTZmYWWQGya/LPcak1bZ2H+bjc="/>
    </ext>
  </extLst>
</workbook>
</file>

<file path=xl/sharedStrings.xml><?xml version="1.0" encoding="utf-8"?>
<sst xmlns="http://schemas.openxmlformats.org/spreadsheetml/2006/main" count="456" uniqueCount="245">
  <si>
    <t>版本</t>
  </si>
  <si>
    <t>修改时间</t>
  </si>
  <si>
    <t>修改人</t>
  </si>
  <si>
    <t>备注</t>
  </si>
  <si>
    <t>xy</t>
  </si>
  <si>
    <r>
      <rPr>
        <rFont val="新細明體"/>
        <color theme="1"/>
        <sz val="11.0"/>
      </rPr>
      <t>贴吧首发地址：</t>
    </r>
    <r>
      <rPr>
        <rFont val="新細明體"/>
        <b/>
        <color theme="1"/>
        <sz val="11.0"/>
      </rPr>
      <t>https://tieba.baidu.com/p/8530450428</t>
    </r>
  </si>
  <si>
    <t>1. 更新了相对更加准确的英雄舞阳老四、老五、老六的属性测试值（主要是格挡）。
2. 增加了克制百分比的计算功能，并更新了相应的计算公式。
3. 属性变化计算器中，增加了力量/气海和身法属性的计算功能。
4. 追加了命中和会心的伤害提升百分比图。</t>
  </si>
  <si>
    <t>kkxp</t>
  </si>
  <si>
    <t>1. 更新了1.2木桩的参考数据，误差非常小
2. 将技能系数更换为龙吟斩霜一段
3. 现在破盾考虑目标的气盾情况，根据大多数人的破盾情况，只考虑破盾大于对方气盾1/3,且小于对面气盾的情况。</t>
  </si>
  <si>
    <t>1. 更新了普通镜天阁的boss属性（稍微有误差，不影响计算）
2. 在属性变化计算器中，增加了龙吟特质根骨对破防的转换</t>
  </si>
  <si>
    <t>折字为安</t>
  </si>
  <si>
    <t>1.全面更新79版本公式（元素自测，元素公式和团本有差异，可能需修改）
2.命中和会心公式通过游戏内面板计算得到，符合77天机团本，命中公式经过PVP实测
3.这里的命中公式直接用了阿娟的，其他公式均由本人计算拟合
4.增加了5%底层会心率判定，让情况更贴合实际
5.BOSS没有气盾，为了贴合当前版本PVP，剩余气盾默认大于三倍破盾
6.时间原因，没有在下方的面板中加入忽视元抗，具体按第一个来计算</t>
  </si>
  <si>
    <t>2.1.1</t>
  </si>
  <si>
    <t>修正两个未改的破防系数，一个命中系数，增加常驻减伤百分比，增加内功词条收益</t>
  </si>
  <si>
    <t>2.1.2</t>
  </si>
  <si>
    <t>修正后面表格命中的命中会心公式并补正收益率，将技能系数改为蓄满的凛月如勾</t>
  </si>
  <si>
    <t>2.1.3</t>
  </si>
  <si>
    <t>1:根据群友iyun的建议给两个属性对比表加入了忽视元抗模块
2::优化忽视元素超过元抗,破防超过防御时的计算逻辑</t>
  </si>
  <si>
    <t>2.1.4</t>
  </si>
  <si>
    <t xml:space="preserve">1增加元素伤害占比模块，优化计算器排版，属性变化计算器增加忽视元素模块
2：增加三金会心伤害方便估算最高极限伤害
3：增加纯PVE版本，修改相应系数为2.1团本木桩
</t>
  </si>
  <si>
    <t>2.1.5</t>
  </si>
  <si>
    <t>下面四个过程量中的剩余气盾公式没改，现已修正</t>
  </si>
  <si>
    <t>2.1.6</t>
  </si>
  <si>
    <t>修正79级PVP系数，让误差在0.2%以内，修改参考属性，系数增加玄机普攻一段参考</t>
  </si>
  <si>
    <t>2.1.7</t>
  </si>
  <si>
    <t>修改倍率为100%，受击方增加血量和血量/伤害期望，即能抗多少倍率的伤害</t>
  </si>
  <si>
    <t>2.1.8</t>
  </si>
  <si>
    <t>增加技能抵御，增强，会心防御，并将技能基础加入元素占比中，使之更贴合实际</t>
  </si>
  <si>
    <t>2.1.9</t>
  </si>
  <si>
    <t>增加萃锋镝等效提升以及保底伤害，增加全职业参考系数，修改技能基础为35级</t>
  </si>
  <si>
    <t>2.2.1</t>
  </si>
  <si>
    <t>全面更新公式修改自测各个PVP系数（待修正），加入技巧克制，更新版本词条数值</t>
  </si>
  <si>
    <t>2.2.2</t>
  </si>
  <si>
    <t>修正表格中破防满之后收益问题，对比器会心率问题，加入技巧克制，气盾灵活判定</t>
  </si>
  <si>
    <t>2.2.3</t>
  </si>
  <si>
    <t>随技能升级增加技能系数1（40级左右），修正属性收益估算表上未修改部分</t>
  </si>
  <si>
    <t>2.2.4</t>
  </si>
  <si>
    <t>精修2.2.2版本PVP系数，使误差在0.02%以内，修改公式，并计划加入进战属性模块</t>
  </si>
  <si>
    <t>2.2.5</t>
  </si>
  <si>
    <t>1：加入组队BUFF和近战模块，都加入开关，可自行选择开关
2：加入新日月区（攻击，元素增伤百分比），区分减伤（新日月区）和流派抵御
3：受粉丝芝士保安启发，优化并加入防御向收益计算，属性变化后直接显示肉度变化，不再需要反向自行计算
本次更新量较大，如果有需要补充的以及发现BUG，请群里@我或私信联系，集中改</t>
  </si>
  <si>
    <t>2.2.6</t>
  </si>
  <si>
    <t>修复部分小BUG，加入会心伤害，因时间紧张，本次更新没全部完成，起草系数表格</t>
  </si>
  <si>
    <t>2.2.7</t>
  </si>
  <si>
    <t>修复一个文字描述，加入技能增强百分比模块，更新内功满词条数据及收益
加入部分区域保护，防止修改到不需要填的部分</t>
  </si>
  <si>
    <t>说明：</t>
  </si>
  <si>
    <t>注意，实际能吃百分比的词条，如攻击等收益吃剑心和破釜会放大</t>
  </si>
  <si>
    <t>1、灰底红字的部分可以修改（除了推荐属性的部分以外），其他部分请不要修改！</t>
  </si>
  <si>
    <t>393破防</t>
  </si>
  <si>
    <t>2、计算过程包含部分估算的参数，结果会有误差，但不会很大。拉到底部可查看计算器使用的公式。</t>
  </si>
  <si>
    <t>269攻击</t>
  </si>
  <si>
    <t>3、计算器结果可能随游戏版本更新而失效。</t>
  </si>
  <si>
    <t>159元素</t>
  </si>
  <si>
    <t>4、现在破盾考虑目标的气盾情况，计算器会自行判定，但是破盾收益按两倍克制算</t>
  </si>
  <si>
    <t>209破盾</t>
  </si>
  <si>
    <t>破盾只考虑小于对方三倍气盾时，如大于，收益逐渐降低，直到1比1攻击</t>
  </si>
  <si>
    <t>5：因为折某本人精力有限，计算器的优化需要群力群为，本计算器完全开源，有优化的交流和建议联系B站折字愿为安</t>
  </si>
  <si>
    <t>137会心</t>
  </si>
  <si>
    <t>6：元素额外乘区仅输入新特质和萃锋即可，技巧克制对攻击方规则为低打高双方技巧克制无效，高打低多的为克制</t>
  </si>
  <si>
    <t>116命中</t>
  </si>
  <si>
    <t>下方输入受到攻击的敌人的属性，可参考推荐属性。这里采用的是大众面板，可自行修改</t>
  </si>
  <si>
    <t>昆吾等效</t>
  </si>
  <si>
    <t>14.2%会伤（灵韵19.2%）</t>
  </si>
  <si>
    <t>受击方面板属性</t>
  </si>
  <si>
    <t>明佑等效</t>
  </si>
  <si>
    <t>286克制+357破防+238元素</t>
  </si>
  <si>
    <t>防御</t>
  </si>
  <si>
    <t>气盾</t>
  </si>
  <si>
    <t>元素抗性</t>
  </si>
  <si>
    <t>抵御</t>
  </si>
  <si>
    <t>格挡</t>
  </si>
  <si>
    <t>会心抵抗</t>
  </si>
  <si>
    <t>抵御百分比</t>
  </si>
  <si>
    <t>血量</t>
  </si>
  <si>
    <t>会心防御</t>
  </si>
  <si>
    <t>技能抵御</t>
  </si>
  <si>
    <t>技能减免百分比</t>
  </si>
  <si>
    <t>技巧克制</t>
  </si>
  <si>
    <t>血量/伤害期望</t>
  </si>
  <si>
    <t>减伤百分比（日月区）</t>
  </si>
  <si>
    <t>撩野等效</t>
  </si>
  <si>
    <t>属性变化量</t>
  </si>
  <si>
    <t>变化后属性</t>
  </si>
  <si>
    <t>常驻减伤不包括日月等乘区，为流派抵御加打造</t>
  </si>
  <si>
    <t>注意攻击方的攻击增伤百分比和元素增伤百分比及防守方减伤百分比，同属日月区</t>
  </si>
  <si>
    <t>常用倍率</t>
  </si>
  <si>
    <t>防御塔属性</t>
  </si>
  <si>
    <t>老橙戒200%+5*45%倍率</t>
  </si>
  <si>
    <t>注意断金戈等是独立乘区，伤害可以直接乘1.12</t>
  </si>
  <si>
    <t>素问属性</t>
  </si>
  <si>
    <t>系数为100%倍率，可自行修改</t>
  </si>
  <si>
    <t>龙玄属性</t>
  </si>
  <si>
    <t>系数1</t>
  </si>
  <si>
    <t>系数2</t>
  </si>
  <si>
    <t>技能等级</t>
  </si>
  <si>
    <t>全独珍属性</t>
  </si>
  <si>
    <t>神九属性</t>
  </si>
  <si>
    <t>碎梦普攻一段系数为：</t>
  </si>
  <si>
    <t>天机迷城</t>
  </si>
  <si>
    <t>满勾子系数</t>
  </si>
  <si>
    <t>在下方输入面板属性，可以计算目前各个属性的收益率（切换页签可查看收益率曲线）；也可以用属性变化计算器，计算各个属性变化一定量后伤害提升的百分比。</t>
  </si>
  <si>
    <t>静态攻击方面板属性（默认带了破釜+剑心+刀意）</t>
  </si>
  <si>
    <t>过程量</t>
  </si>
  <si>
    <t>目标面板</t>
  </si>
  <si>
    <t>防御系数</t>
  </si>
  <si>
    <t>元抗系数</t>
  </si>
  <si>
    <t>命中系数</t>
  </si>
  <si>
    <t>会心系数</t>
  </si>
  <si>
    <t>忽视元抗</t>
  </si>
  <si>
    <t>攻击</t>
  </si>
  <si>
    <t>破防</t>
  </si>
  <si>
    <t>破盾</t>
  </si>
  <si>
    <t>元素攻击</t>
  </si>
  <si>
    <t>克制数值</t>
  </si>
  <si>
    <t>命中</t>
  </si>
  <si>
    <t>会心</t>
  </si>
  <si>
    <t>会伤-100%</t>
  </si>
  <si>
    <t>额外会心率</t>
  </si>
  <si>
    <t>克制百分比</t>
  </si>
  <si>
    <t>技能增强百分比</t>
  </si>
  <si>
    <t>元素伤害占比</t>
  </si>
  <si>
    <t>技能增强</t>
  </si>
  <si>
    <t>剩余防御</t>
  </si>
  <si>
    <t>防御减免</t>
  </si>
  <si>
    <t>技能剩余百分比</t>
  </si>
  <si>
    <t>剩余气盾</t>
  </si>
  <si>
    <t>元素抗性减免</t>
  </si>
  <si>
    <t>2.2版本</t>
  </si>
  <si>
    <t>三金会心</t>
  </si>
  <si>
    <t>未会心伤害</t>
  </si>
  <si>
    <t>包含命中会心的伤害期望</t>
  </si>
  <si>
    <t xml:space="preserve"> </t>
  </si>
  <si>
    <t>攻击增伤比</t>
  </si>
  <si>
    <t>特殊乘区</t>
  </si>
  <si>
    <t>元素增伤百分比</t>
  </si>
  <si>
    <t>实际命中率</t>
  </si>
  <si>
    <t>实际会心率</t>
  </si>
  <si>
    <t>技巧克制差</t>
  </si>
  <si>
    <t>2.3版本</t>
  </si>
  <si>
    <t>要算出游戏内显示的伤害，需要再乘上各个技能的技能倍率以及各种增伤。</t>
  </si>
  <si>
    <t>防御变化后</t>
  </si>
  <si>
    <t>肉度变化</t>
  </si>
  <si>
    <t>属性收益估算（在上方面板情况下，提升一定量某属性，对应提升的伤害百分比）</t>
  </si>
  <si>
    <t>会心伤害</t>
  </si>
  <si>
    <t>保底伤害(无格挡)</t>
  </si>
  <si>
    <t>攻击提升100点</t>
  </si>
  <si>
    <t>破防提升100点</t>
  </si>
  <si>
    <t>元素攻击提升50点</t>
  </si>
  <si>
    <t>命中提升21点</t>
  </si>
  <si>
    <t>会心提升25点</t>
  </si>
  <si>
    <t>50会心率剩余会心2100左右，55会心率2450左右</t>
  </si>
  <si>
    <t>数值最高的是提升收益最大的，但是因为还有各种百分比加成等因素，仅用于粗略估计。</t>
  </si>
  <si>
    <t>真实会心率=命中率*实际会心率</t>
  </si>
  <si>
    <t>攻击提升224点</t>
  </si>
  <si>
    <t>破防提升300点</t>
  </si>
  <si>
    <t>元素攻提升100点</t>
  </si>
  <si>
    <t>命中提升40点</t>
  </si>
  <si>
    <t>会心提升100点</t>
  </si>
  <si>
    <t>注意实战有火周天催锋等必定命中且不会心，乾坤金等必会心，会影响最后结算伤害会心率，以计算器结果为准</t>
  </si>
  <si>
    <t>这里则是按各个属性等价计算，作为参考。</t>
  </si>
  <si>
    <t>属性变化计算器1（计算在上方攻击方面板的基础上，属性变化一定量后提升的伤害，变化量可为正可为负）</t>
  </si>
  <si>
    <t>会伤</t>
  </si>
  <si>
    <t>力量/气海</t>
  </si>
  <si>
    <t>身法</t>
  </si>
  <si>
    <t>根骨</t>
  </si>
  <si>
    <t>伤害期望提升百分比</t>
  </si>
  <si>
    <t>元素额外乘区</t>
  </si>
  <si>
    <t>入梦之光</t>
  </si>
  <si>
    <t>逐星阵</t>
  </si>
  <si>
    <t>这里按默认的1力量/气海 = 4.65攻击+2破防，1身法 = 0.83命中+1.6会心计算，不包含各个特质（如碎梦刀意）和大特质（如神相大特质）以及各种百分比的额外加成！</t>
  </si>
  <si>
    <t>引灵阵</t>
  </si>
  <si>
    <t>广陵散</t>
  </si>
  <si>
    <t>动态面板以及组队（PVP默认破釜+剑心+刀意+催魂，无握枢向天歌）注意这里是伤害期望，实际金周天卡轴收益更高</t>
  </si>
  <si>
    <t>九宫八卦</t>
  </si>
  <si>
    <t>BUFF</t>
  </si>
  <si>
    <t>心眼</t>
  </si>
  <si>
    <t>双药</t>
  </si>
  <si>
    <t>灵犀内功</t>
  </si>
  <si>
    <t>昆吾</t>
  </si>
  <si>
    <t>惊山月（卡轴）</t>
  </si>
  <si>
    <t>断金戈等</t>
  </si>
  <si>
    <t>火周天</t>
  </si>
  <si>
    <t>金周天</t>
  </si>
  <si>
    <t>攻击药</t>
  </si>
  <si>
    <t>开关</t>
  </si>
  <si>
    <t>悟</t>
  </si>
  <si>
    <t>无</t>
  </si>
  <si>
    <t>普通</t>
  </si>
  <si>
    <t>有</t>
  </si>
  <si>
    <t>灵犀</t>
  </si>
  <si>
    <t>属性</t>
  </si>
  <si>
    <t>会心药</t>
  </si>
  <si>
    <t>待加入</t>
  </si>
  <si>
    <t>惊山月</t>
  </si>
  <si>
    <t>在西方输入面板属性，可以直接对比两个面板的条件下伤害期望的差距。</t>
  </si>
  <si>
    <t>面板对比器1</t>
  </si>
  <si>
    <t>断金戈</t>
  </si>
  <si>
    <t>这里直接输入差</t>
  </si>
  <si>
    <t>面板对比器2</t>
  </si>
  <si>
    <t xml:space="preserve">  </t>
  </si>
  <si>
    <t>计算公式：（79级折字）2024年12/13版</t>
  </si>
  <si>
    <t>伤害=（（技能基础b+技能倍率k（攻击-剩余气盾+克制-抵御+技能强度-技能抵御+技巧克制差））*（1-防御减免）也就是防御穿透率*（1+外功攻击增伤）+技能倍率k*元素攻击*（1-元素减免）*（1+元素攻击增伤）*（1+克制百分比-抵御百分比）*（1+技能增强百分比-技能抵御百分比）*（特殊乘区）*会伤/格挡倍率</t>
  </si>
  <si>
    <t>由贴吧星语困提出，新赛年我加以补充和修改</t>
  </si>
  <si>
    <t>剩余防御 = 防御 - 破防</t>
  </si>
  <si>
    <t>防御减免 = 0.1+剩余防御 / (剩余防御+19032)</t>
  </si>
  <si>
    <t>此公式本人计算及PVP验证</t>
  </si>
  <si>
    <t>抗性减免 = 抗性 / (抗性+4762)</t>
  </si>
  <si>
    <t>此公式由本人PVP计算以及验证</t>
  </si>
  <si>
    <t>剩余气盾 =</t>
  </si>
  <si>
    <t>（破盾≥气盾）</t>
  </si>
  <si>
    <t xml:space="preserve"> 0.5 * (气盾 - 破盾)</t>
  </si>
  <si>
    <t>（1/3气盾≤破盾≤气盾）</t>
  </si>
  <si>
    <t>气盾 - 2 * 破盾</t>
  </si>
  <si>
    <t>（破盾≤ 1/3气盾）</t>
  </si>
  <si>
    <t>（PVP默认气盾大于三倍破盾）</t>
  </si>
  <si>
    <t>剩余命中=命中-格挡</t>
  </si>
  <si>
    <t>命中（格挡）概率 = 143 *剩余命中 / （剩余命中 +10688)/100+0.95</t>
  </si>
  <si>
    <t>此公式由本人PVP测试拟合</t>
  </si>
  <si>
    <t>剩余会心 = 会心 - 会心抵抗</t>
  </si>
  <si>
    <t>会心率 = (115 * 剩余会心 -200)/(剩余会心 +2666)/100（修正后误差1%以内）</t>
  </si>
  <si>
    <t>此公式由插旗粗略拟合，总修正6小时，但因PVP会心起伏较大，只能保证误差在1%以内</t>
  </si>
  <si>
    <t>攻击提升</t>
  </si>
  <si>
    <t>伤害</t>
  </si>
  <si>
    <t>伤害提升百分比</t>
  </si>
  <si>
    <t>y=0.1</t>
  </si>
  <si>
    <t>每增加100点攻击收益率</t>
  </si>
  <si>
    <t>224攻击收益率</t>
  </si>
  <si>
    <t>元素攻击提升</t>
  </si>
  <si>
    <t>元素攻击提升伤害百分比</t>
  </si>
  <si>
    <t>每增加50点元素攻击收益率</t>
  </si>
  <si>
    <t>每增加100点元素攻击收益率</t>
  </si>
  <si>
    <t>133元素收益</t>
  </si>
  <si>
    <t>破防提升</t>
  </si>
  <si>
    <t>伤害计算</t>
  </si>
  <si>
    <t>每增加150点破防收益率</t>
  </si>
  <si>
    <t>每增加100点破防收益率</t>
  </si>
  <si>
    <t>破防增328收益</t>
  </si>
  <si>
    <t>命中提升</t>
  </si>
  <si>
    <t>命中率</t>
  </si>
  <si>
    <t>伤害期望计算</t>
  </si>
  <si>
    <t>每增加21点命中收益率</t>
  </si>
  <si>
    <t>每增加40点命中收益率</t>
  </si>
  <si>
    <t>会心提升</t>
  </si>
  <si>
    <t>会心率</t>
  </si>
  <si>
    <t>每增加25点会心收益率</t>
  </si>
  <si>
    <t>每增加40点会心收益率</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</si>
</sst>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
    <numFmt numFmtId="166" formatCode="0_ "/>
    <numFmt numFmtId="167" formatCode="0.00_ "/>
    <numFmt numFmtId="168" formatCode="0.0_ "/>
    <numFmt numFmtId="169" formatCode="0.000%"/>
    <numFmt numFmtId="170" formatCode="0_);[Red]\(0\)"/>
  </numFmts>
  <fonts count="11">
    <font>
      <sz val="11.0"/>
      <color theme="1"/>
      <name val="Calibri"/>
      <scheme val="minor"/>
    </font>
    <font>
      <sz val="11.0"/>
      <color theme="1"/>
      <name val="PMingLiu"/>
    </font>
    <font/>
    <font>
      <b/>
      <sz val="11.0"/>
      <color rgb="FFFF0000"/>
      <name val="PMingLiu"/>
    </font>
    <font>
      <b/>
      <sz val="14.0"/>
      <color rgb="FFFF0000"/>
      <name val="PMingLiu"/>
    </font>
    <font>
      <b/>
      <sz val="11.0"/>
      <color theme="1"/>
      <name val="PMingLiu"/>
    </font>
    <font>
      <sz val="11.0"/>
      <color rgb="FFFF0000"/>
      <name val="PMingLiu"/>
    </font>
    <font>
      <color theme="1"/>
      <name val="Calibri"/>
      <scheme val="minor"/>
    </font>
    <font>
      <b/>
      <sz val="11.0"/>
      <color theme="4"/>
      <name val="PMingLiu"/>
    </font>
    <font>
      <sz val="12.0"/>
      <color theme="1"/>
      <name val="PMingLiu"/>
    </font>
    <font>
      <b/>
      <sz val="12.0"/>
      <color rgb="FFFF0000"/>
      <name val="PMingLiu"/>
    </font>
  </fonts>
  <fills count="16">
    <fill>
      <patternFill patternType="none"/>
    </fill>
    <fill>
      <patternFill patternType="lightGray"/>
    </fill>
    <fill>
      <patternFill patternType="solid">
        <fgColor rgb="FF9CC2E5"/>
        <bgColor rgb="FF9CC2E5"/>
      </patternFill>
    </fill>
    <fill>
      <patternFill patternType="solid">
        <fgColor rgb="FFFFFF00"/>
        <bgColor rgb="FFFFFF00"/>
      </patternFill>
    </fill>
    <fill>
      <patternFill patternType="solid">
        <fgColor theme="9"/>
        <bgColor theme="9"/>
      </patternFill>
    </fill>
    <fill>
      <patternFill patternType="solid">
        <fgColor rgb="FFFF7C80"/>
        <bgColor rgb="FFFF7C80"/>
      </patternFill>
    </fill>
    <fill>
      <patternFill patternType="solid">
        <fgColor rgb="FFFFCCCC"/>
        <bgColor rgb="FFFFCCCC"/>
      </patternFill>
    </fill>
    <fill>
      <patternFill patternType="solid">
        <fgColor rgb="FFE7E6E6"/>
        <bgColor rgb="FFE7E6E6"/>
      </patternFill>
    </fill>
    <fill>
      <patternFill patternType="solid">
        <fgColor rgb="FFFEF2CB"/>
        <bgColor rgb="FFFEF2CB"/>
      </patternFill>
    </fill>
    <fill>
      <patternFill patternType="solid">
        <fgColor rgb="FFFFE598"/>
        <bgColor rgb="FFFFE598"/>
      </patternFill>
    </fill>
    <fill>
      <patternFill patternType="solid">
        <fgColor rgb="FFBFBFBF"/>
        <bgColor rgb="FFBFBFBF"/>
      </patternFill>
    </fill>
    <fill>
      <patternFill patternType="solid">
        <fgColor rgb="FFDEEAF6"/>
        <bgColor rgb="FFDEEAF6"/>
      </patternFill>
    </fill>
    <fill>
      <patternFill patternType="solid">
        <fgColor rgb="FFECECEC"/>
        <bgColor rgb="FFECECEC"/>
      </patternFill>
    </fill>
    <fill>
      <patternFill patternType="solid">
        <fgColor theme="7"/>
        <bgColor theme="7"/>
      </patternFill>
    </fill>
    <fill>
      <patternFill patternType="solid">
        <fgColor rgb="FFA8D08D"/>
        <bgColor rgb="FFA8D08D"/>
      </patternFill>
    </fill>
    <fill>
      <patternFill patternType="solid">
        <fgColor rgb="FFC5E0B3"/>
        <bgColor rgb="FFC5E0B3"/>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top style="thin">
        <color rgb="FF000000"/>
      </top>
      <bottom/>
    </border>
    <border>
      <left/>
      <right/>
      <top style="thin">
        <color rgb="FF000000"/>
      </top>
      <bottom/>
    </border>
    <border>
      <left/>
      <top style="thin">
        <color rgb="FF000000"/>
      </top>
      <bottom/>
    </border>
    <border>
      <right style="thin">
        <color rgb="FF000000"/>
      </right>
      <top style="thin">
        <color rgb="FF000000"/>
      </top>
      <bottom/>
    </border>
    <border>
      <top style="thin">
        <color rgb="FF000000"/>
      </top>
      <bottom/>
    </border>
    <border>
      <left style="thin">
        <color rgb="FF000000"/>
      </left>
      <right style="thin">
        <color rgb="FF000000"/>
      </right>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border>
    <border>
      <left style="thin">
        <color rgb="FF000000"/>
      </left>
      <top/>
      <bottom/>
    </border>
    <border>
      <top/>
      <bottom/>
    </border>
    <border>
      <right/>
      <top/>
      <bottom/>
    </border>
    <border>
      <left style="thin">
        <color rgb="FF000000"/>
      </left>
      <right style="thin">
        <color rgb="FF000000"/>
      </right>
      <top/>
      <bottom/>
    </border>
  </borders>
  <cellStyleXfs count="1">
    <xf borderId="0" fillId="0" fontId="0" numFmtId="0" applyAlignment="1" applyFont="1"/>
  </cellStyleXfs>
  <cellXfs count="146">
    <xf borderId="0" fillId="0" fontId="0" numFmtId="0" xfId="0" applyAlignment="1" applyFont="1">
      <alignment readingOrder="0" shrinkToFit="0" vertical="center" wrapText="0"/>
    </xf>
    <xf borderId="1" fillId="2" fontId="1" numFmtId="0" xfId="0" applyAlignment="1" applyBorder="1" applyFill="1" applyFont="1">
      <alignment vertical="center"/>
    </xf>
    <xf borderId="1" fillId="0" fontId="1" numFmtId="164" xfId="0" applyAlignment="1" applyBorder="1" applyFont="1" applyNumberFormat="1">
      <alignment horizontal="center" vertical="center"/>
    </xf>
    <xf borderId="1" fillId="0" fontId="1" numFmtId="14" xfId="0" applyAlignment="1" applyBorder="1" applyFont="1" applyNumberForma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2" fillId="0" fontId="1" numFmtId="0" xfId="0" applyAlignment="1" applyBorder="1" applyFont="1">
      <alignment horizontal="center" vertical="center"/>
    </xf>
    <xf borderId="2" fillId="0" fontId="1" numFmtId="14" xfId="0" applyAlignment="1" applyBorder="1" applyFont="1" applyNumberFormat="1">
      <alignment horizontal="center" vertical="center"/>
    </xf>
    <xf borderId="2" fillId="0" fontId="1" numFmtId="0" xfId="0" applyAlignment="1" applyBorder="1" applyFont="1">
      <alignment horizontal="left" shrinkToFit="0" vertical="center" wrapText="1"/>
    </xf>
    <xf borderId="3" fillId="0" fontId="2" numFmtId="0" xfId="0" applyAlignment="1" applyBorder="1" applyFont="1">
      <alignment vertical="center"/>
    </xf>
    <xf borderId="4" fillId="0" fontId="2" numFmtId="0" xfId="0" applyAlignment="1" applyBorder="1" applyFont="1">
      <alignment vertical="center"/>
    </xf>
    <xf borderId="1" fillId="0" fontId="1" numFmtId="0" xfId="0" applyAlignment="1" applyBorder="1" applyFont="1">
      <alignment horizontal="left" vertical="center"/>
    </xf>
    <xf borderId="1" fillId="0" fontId="1" numFmtId="0" xfId="0" applyAlignment="1" applyBorder="1" applyFont="1">
      <alignment vertical="center"/>
    </xf>
    <xf borderId="1" fillId="0" fontId="1" numFmtId="0" xfId="0" applyAlignment="1" applyBorder="1" applyFont="1">
      <alignment shrinkToFit="0" vertical="center" wrapText="1"/>
    </xf>
    <xf borderId="0" fillId="0" fontId="3" numFmtId="0" xfId="0" applyAlignment="1" applyFont="1">
      <alignment vertical="center"/>
    </xf>
    <xf borderId="0" fillId="0" fontId="1" numFmtId="165" xfId="0" applyAlignment="1" applyFont="1" applyNumberFormat="1">
      <alignment vertical="center"/>
    </xf>
    <xf borderId="0" fillId="0" fontId="4" numFmtId="0" xfId="0" applyAlignment="1" applyFont="1">
      <alignment vertical="center"/>
    </xf>
    <xf borderId="5" fillId="3" fontId="5" numFmtId="0" xfId="0" applyAlignment="1" applyBorder="1" applyFill="1" applyFont="1">
      <alignment vertical="center"/>
    </xf>
    <xf borderId="6" fillId="0" fontId="1" numFmtId="10" xfId="0" applyAlignment="1" applyBorder="1" applyFont="1" applyNumberFormat="1">
      <alignment vertical="center"/>
    </xf>
    <xf borderId="7" fillId="3" fontId="5" numFmtId="0" xfId="0" applyAlignment="1" applyBorder="1" applyFont="1">
      <alignment vertical="center"/>
    </xf>
    <xf borderId="8" fillId="0" fontId="1" numFmtId="10" xfId="0" applyAlignment="1" applyBorder="1" applyFont="1" applyNumberFormat="1">
      <alignment vertical="center"/>
    </xf>
    <xf borderId="9" fillId="3" fontId="5" numFmtId="0" xfId="0" applyAlignment="1" applyBorder="1" applyFont="1">
      <alignment vertical="center"/>
    </xf>
    <xf borderId="10" fillId="0" fontId="1" numFmtId="10" xfId="0" applyAlignment="1" applyBorder="1" applyFont="1" applyNumberFormat="1">
      <alignment vertical="center"/>
    </xf>
    <xf borderId="5" fillId="4" fontId="6" numFmtId="0" xfId="0" applyAlignment="1" applyBorder="1" applyFill="1" applyFont="1">
      <alignment vertical="center"/>
    </xf>
    <xf borderId="0" fillId="0" fontId="7" numFmtId="0" xfId="0" applyAlignment="1" applyFont="1">
      <alignment vertical="center"/>
    </xf>
    <xf borderId="11" fillId="5" fontId="5" numFmtId="0" xfId="0" applyAlignment="1" applyBorder="1" applyFill="1" applyFont="1">
      <alignment vertical="center"/>
    </xf>
    <xf borderId="12" fillId="5" fontId="1" numFmtId="0" xfId="0" applyAlignment="1" applyBorder="1" applyFont="1">
      <alignment vertical="center"/>
    </xf>
    <xf borderId="13" fillId="5" fontId="1" numFmtId="0" xfId="0" applyAlignment="1" applyBorder="1" applyFont="1">
      <alignment horizontal="center" vertical="center"/>
    </xf>
    <xf borderId="14" fillId="0" fontId="2" numFmtId="0" xfId="0" applyAlignment="1" applyBorder="1" applyFont="1">
      <alignment vertical="center"/>
    </xf>
    <xf borderId="15" fillId="0" fontId="2" numFmtId="0" xfId="0" applyAlignment="1" applyBorder="1" applyFont="1">
      <alignment vertical="center"/>
    </xf>
    <xf borderId="9" fillId="4" fontId="6" numFmtId="0" xfId="0" applyAlignment="1" applyBorder="1" applyFont="1">
      <alignment vertical="center"/>
    </xf>
    <xf borderId="1" fillId="6" fontId="1" numFmtId="0" xfId="0" applyAlignment="1" applyBorder="1" applyFill="1" applyFont="1">
      <alignment horizontal="center" vertical="center"/>
    </xf>
    <xf borderId="16" fillId="6" fontId="1" numFmtId="0" xfId="0" applyAlignment="1" applyBorder="1" applyFont="1">
      <alignment horizontal="center" vertical="center"/>
    </xf>
    <xf borderId="16" fillId="6" fontId="1" numFmtId="165" xfId="0" applyAlignment="1" applyBorder="1" applyFont="1" applyNumberFormat="1">
      <alignment horizontal="center" vertical="center"/>
    </xf>
    <xf borderId="1" fillId="0" fontId="3" numFmtId="0" xfId="0" applyAlignment="1" applyBorder="1" applyFont="1">
      <alignment vertical="center"/>
    </xf>
    <xf borderId="0" fillId="0" fontId="1" numFmtId="10" xfId="0" applyAlignment="1" applyFont="1" applyNumberFormat="1">
      <alignment horizontal="left" vertical="center"/>
    </xf>
    <xf borderId="1" fillId="7" fontId="6" numFmtId="0" xfId="0" applyAlignment="1" applyBorder="1" applyFill="1" applyFont="1">
      <alignment horizontal="center" vertical="center"/>
    </xf>
    <xf borderId="1" fillId="7" fontId="6" numFmtId="0" xfId="0" applyAlignment="1" applyBorder="1" applyFont="1">
      <alignment horizontal="center" readingOrder="0" vertical="center"/>
    </xf>
    <xf borderId="1" fillId="7" fontId="6" numFmtId="9" xfId="0" applyAlignment="1" applyBorder="1" applyFont="1" applyNumberFormat="1">
      <alignment horizontal="center" vertical="center"/>
    </xf>
    <xf borderId="1" fillId="7" fontId="6" numFmtId="165" xfId="0" applyAlignment="1" applyBorder="1" applyFont="1" applyNumberFormat="1">
      <alignment horizontal="center" vertical="center"/>
    </xf>
    <xf borderId="1" fillId="7" fontId="6" numFmtId="166" xfId="0" applyAlignment="1" applyBorder="1" applyFont="1" applyNumberFormat="1">
      <alignment horizontal="center" vertical="center"/>
    </xf>
    <xf borderId="1" fillId="7" fontId="6" numFmtId="10" xfId="0" applyAlignment="1" applyBorder="1" applyFont="1" applyNumberFormat="1">
      <alignment horizontal="center" vertical="center"/>
    </xf>
    <xf borderId="1" fillId="0" fontId="3" numFmtId="9" xfId="0" applyAlignment="1" applyBorder="1" applyFont="1" applyNumberFormat="1">
      <alignment horizontal="center" vertical="center"/>
    </xf>
    <xf borderId="0" fillId="0" fontId="8" numFmtId="0" xfId="0" applyAlignment="1" applyFont="1">
      <alignment vertical="center"/>
    </xf>
    <xf borderId="1" fillId="8" fontId="5" numFmtId="0" xfId="0" applyAlignment="1" applyBorder="1" applyFill="1" applyFont="1">
      <alignment horizontal="center" vertical="center"/>
    </xf>
    <xf borderId="1" fillId="8" fontId="3" numFmtId="9" xfId="0" applyAlignment="1" applyBorder="1" applyFont="1" applyNumberFormat="1">
      <alignment horizontal="center" vertical="center"/>
    </xf>
    <xf borderId="1" fillId="8" fontId="3" numFmtId="0" xfId="0" applyAlignment="1" applyBorder="1" applyFont="1">
      <alignment horizontal="center" vertical="center"/>
    </xf>
    <xf borderId="1" fillId="7" fontId="8" numFmtId="0" xfId="0" applyAlignment="1" applyBorder="1" applyFont="1">
      <alignment horizontal="center" vertical="center"/>
    </xf>
    <xf borderId="1" fillId="7" fontId="8" numFmtId="9" xfId="0" applyAlignment="1" applyBorder="1" applyFont="1" applyNumberFormat="1">
      <alignment horizontal="center" vertical="center"/>
    </xf>
    <xf borderId="1" fillId="7" fontId="8" numFmtId="165" xfId="0" applyAlignment="1" applyBorder="1" applyFont="1" applyNumberFormat="1">
      <alignment horizontal="center" vertical="center"/>
    </xf>
    <xf borderId="1" fillId="7" fontId="8" numFmtId="166" xfId="0" applyAlignment="1" applyBorder="1" applyFont="1" applyNumberFormat="1">
      <alignment horizontal="center" vertical="center"/>
    </xf>
    <xf borderId="1" fillId="7" fontId="8" numFmtId="10" xfId="0" applyAlignment="1" applyBorder="1" applyFont="1" applyNumberFormat="1">
      <alignment horizontal="center" vertical="center"/>
    </xf>
    <xf borderId="17" fillId="0" fontId="1" numFmtId="0" xfId="0" applyAlignment="1" applyBorder="1" applyFont="1">
      <alignment vertical="center"/>
    </xf>
    <xf borderId="0" fillId="0" fontId="6" numFmtId="0" xfId="0" applyAlignment="1" applyFont="1">
      <alignment vertical="center"/>
    </xf>
    <xf borderId="0" fillId="0" fontId="1" numFmtId="9" xfId="0" applyAlignment="1" applyFont="1" applyNumberFormat="1">
      <alignment vertical="center"/>
    </xf>
    <xf borderId="0" fillId="0" fontId="3" numFmtId="165" xfId="0" applyAlignment="1" applyFont="1" applyNumberFormat="1">
      <alignment vertical="center"/>
    </xf>
    <xf borderId="0" fillId="0" fontId="3" numFmtId="9" xfId="0" applyAlignment="1" applyFont="1" applyNumberFormat="1">
      <alignment vertical="center"/>
    </xf>
    <xf borderId="1" fillId="6" fontId="1" numFmtId="0" xfId="0" applyAlignment="1" applyBorder="1" applyFont="1">
      <alignment vertical="center"/>
    </xf>
    <xf borderId="0" fillId="0" fontId="1" numFmtId="4" xfId="0" applyAlignment="1" applyFont="1" applyNumberFormat="1">
      <alignment vertical="center"/>
    </xf>
    <xf borderId="0" fillId="0" fontId="5" numFmtId="10" xfId="0" applyAlignment="1" applyFont="1" applyNumberFormat="1">
      <alignment vertical="center"/>
    </xf>
    <xf borderId="0" fillId="0" fontId="5" numFmtId="0" xfId="0" applyAlignment="1" applyFont="1">
      <alignment vertical="center"/>
    </xf>
    <xf borderId="1" fillId="9" fontId="1" numFmtId="0" xfId="0" applyAlignment="1" applyBorder="1" applyFill="1" applyFont="1">
      <alignment vertical="center"/>
    </xf>
    <xf borderId="1" fillId="10" fontId="6" numFmtId="0" xfId="0" applyAlignment="1" applyBorder="1" applyFill="1" applyFont="1">
      <alignment vertical="center"/>
    </xf>
    <xf borderId="0" fillId="0" fontId="1" numFmtId="165" xfId="0" applyAlignment="1" applyFont="1" applyNumberFormat="1">
      <alignment horizontal="center" vertical="center"/>
    </xf>
    <xf borderId="0" fillId="0" fontId="1" numFmtId="0" xfId="0" applyAlignment="1" applyFont="1">
      <alignment horizontal="center" vertical="center"/>
    </xf>
    <xf borderId="0" fillId="0" fontId="1" numFmtId="0" xfId="0" applyAlignment="1" applyFont="1">
      <alignment vertical="center"/>
    </xf>
    <xf borderId="0" fillId="0" fontId="6" numFmtId="0" xfId="0" applyAlignment="1" applyFont="1">
      <alignment horizontal="center" vertical="center"/>
    </xf>
    <xf borderId="1" fillId="2" fontId="5" numFmtId="0" xfId="0" applyAlignment="1" applyBorder="1" applyFont="1">
      <alignment vertical="center"/>
    </xf>
    <xf borderId="18" fillId="2" fontId="5" numFmtId="0" xfId="0" applyAlignment="1" applyBorder="1" applyFont="1">
      <alignment vertical="center"/>
    </xf>
    <xf borderId="19" fillId="2" fontId="5" numFmtId="0" xfId="0" applyAlignment="1" applyBorder="1" applyFont="1">
      <alignment vertical="center"/>
    </xf>
    <xf borderId="19" fillId="2" fontId="5" numFmtId="165" xfId="0" applyAlignment="1" applyBorder="1" applyFont="1" applyNumberFormat="1">
      <alignment vertical="center"/>
    </xf>
    <xf borderId="20" fillId="2" fontId="5" numFmtId="0" xfId="0" applyAlignment="1" applyBorder="1" applyFont="1">
      <alignment vertical="center"/>
    </xf>
    <xf borderId="18" fillId="9" fontId="1" numFmtId="0" xfId="0" applyAlignment="1" applyBorder="1" applyFont="1">
      <alignment vertical="center"/>
    </xf>
    <xf borderId="19" fillId="9" fontId="1" numFmtId="0" xfId="0" applyAlignment="1" applyBorder="1" applyFont="1">
      <alignment vertical="center"/>
    </xf>
    <xf borderId="19" fillId="9" fontId="1" numFmtId="165" xfId="0" applyAlignment="1" applyBorder="1" applyFont="1" applyNumberFormat="1">
      <alignment vertical="center"/>
    </xf>
    <xf borderId="20" fillId="9" fontId="1" numFmtId="0" xfId="0" applyAlignment="1" applyBorder="1" applyFont="1">
      <alignment vertical="center"/>
    </xf>
    <xf borderId="1" fillId="11" fontId="1" numFmtId="0" xfId="0" applyAlignment="1" applyBorder="1" applyFill="1" applyFont="1">
      <alignment horizontal="center" vertical="center"/>
    </xf>
    <xf borderId="1" fillId="11" fontId="1" numFmtId="165" xfId="0" applyAlignment="1" applyBorder="1" applyFont="1" applyNumberFormat="1">
      <alignment horizontal="center" vertical="center"/>
    </xf>
    <xf borderId="1" fillId="8" fontId="1" numFmtId="0" xfId="0" applyAlignment="1" applyBorder="1" applyFont="1">
      <alignment vertical="center"/>
    </xf>
    <xf borderId="1" fillId="8" fontId="1" numFmtId="165" xfId="0" applyAlignment="1" applyBorder="1" applyFont="1" applyNumberFormat="1">
      <alignment vertical="center"/>
    </xf>
    <xf borderId="1" fillId="0" fontId="6" numFmtId="0" xfId="0" applyAlignment="1" applyBorder="1" applyFont="1">
      <alignment horizontal="center" vertical="center"/>
    </xf>
    <xf borderId="1" fillId="12" fontId="6" numFmtId="0" xfId="0" applyAlignment="1" applyBorder="1" applyFill="1" applyFont="1">
      <alignment horizontal="center" vertical="center"/>
    </xf>
    <xf borderId="1" fillId="12" fontId="6" numFmtId="0" xfId="0" applyAlignment="1" applyBorder="1" applyFont="1">
      <alignment horizontal="center" readingOrder="0" vertical="center"/>
    </xf>
    <xf borderId="1" fillId="12" fontId="6" numFmtId="165" xfId="0" applyAlignment="1" applyBorder="1" applyFont="1" applyNumberFormat="1">
      <alignment horizontal="center" vertical="center"/>
    </xf>
    <xf borderId="1" fillId="12" fontId="6" numFmtId="9" xfId="0" applyAlignment="1" applyBorder="1" applyFont="1" applyNumberFormat="1">
      <alignment horizontal="center" vertical="center"/>
    </xf>
    <xf borderId="1" fillId="0" fontId="1" numFmtId="10" xfId="0" applyAlignment="1" applyBorder="1" applyFont="1" applyNumberFormat="1">
      <alignment vertical="center"/>
    </xf>
    <xf borderId="1" fillId="0" fontId="1" numFmtId="165" xfId="0" applyAlignment="1" applyBorder="1" applyFont="1" applyNumberFormat="1">
      <alignment vertical="center"/>
    </xf>
    <xf borderId="0" fillId="0" fontId="1" numFmtId="167" xfId="0" applyAlignment="1" applyFont="1" applyNumberFormat="1">
      <alignment vertical="center"/>
    </xf>
    <xf borderId="0" fillId="0" fontId="5" numFmtId="0" xfId="0" applyAlignment="1" applyFont="1">
      <alignment horizontal="center" vertical="center"/>
    </xf>
    <xf borderId="21" fillId="11" fontId="5" numFmtId="0" xfId="0" applyAlignment="1" applyBorder="1" applyFont="1">
      <alignment horizontal="center" vertical="center"/>
    </xf>
    <xf borderId="22" fillId="0" fontId="2" numFmtId="0" xfId="0" applyAlignment="1" applyBorder="1" applyFont="1">
      <alignment vertical="center"/>
    </xf>
    <xf borderId="0" fillId="0" fontId="7" numFmtId="10" xfId="0" applyAlignment="1" applyFont="1" applyNumberFormat="1">
      <alignment vertical="center"/>
    </xf>
    <xf borderId="1" fillId="0" fontId="5" numFmtId="0" xfId="0" applyAlignment="1" applyBorder="1" applyFont="1">
      <alignment vertical="center"/>
    </xf>
    <xf borderId="23" fillId="0" fontId="5" numFmtId="164" xfId="0" applyAlignment="1" applyBorder="1" applyFont="1" applyNumberFormat="1">
      <alignment horizontal="center" vertical="center"/>
    </xf>
    <xf borderId="24" fillId="0" fontId="2" numFmtId="0" xfId="0" applyAlignment="1" applyBorder="1" applyFont="1">
      <alignment vertical="center"/>
    </xf>
    <xf borderId="1" fillId="0" fontId="1" numFmtId="166" xfId="0" applyAlignment="1" applyBorder="1" applyFont="1" applyNumberFormat="1">
      <alignment vertical="center"/>
    </xf>
    <xf borderId="0" fillId="0" fontId="5" numFmtId="164" xfId="0" applyAlignment="1" applyFont="1" applyNumberFormat="1">
      <alignment horizontal="center" vertical="center"/>
    </xf>
    <xf borderId="25" fillId="13" fontId="5" numFmtId="164" xfId="0" applyAlignment="1" applyBorder="1" applyFill="1" applyFont="1" applyNumberFormat="1">
      <alignment horizontal="center" vertical="center"/>
    </xf>
    <xf borderId="0" fillId="0" fontId="1" numFmtId="10" xfId="0" applyAlignment="1" applyFont="1" applyNumberFormat="1">
      <alignment vertical="center"/>
    </xf>
    <xf borderId="25" fillId="13" fontId="5" numFmtId="0" xfId="0" applyAlignment="1" applyBorder="1" applyFont="1">
      <alignment vertical="center"/>
    </xf>
    <xf borderId="21" fillId="13" fontId="5" numFmtId="0" xfId="0" applyAlignment="1" applyBorder="1" applyFont="1">
      <alignment horizontal="center" vertical="center"/>
    </xf>
    <xf borderId="1" fillId="13" fontId="5" numFmtId="0" xfId="0" applyAlignment="1" applyBorder="1" applyFont="1">
      <alignment horizontal="center" vertical="center"/>
    </xf>
    <xf borderId="0" fillId="0" fontId="3" numFmtId="10" xfId="0" applyAlignment="1" applyFont="1" applyNumberFormat="1">
      <alignment vertical="center"/>
    </xf>
    <xf borderId="1" fillId="0" fontId="5" numFmtId="10" xfId="0" applyAlignment="1" applyBorder="1" applyFont="1" applyNumberFormat="1">
      <alignment horizontal="center" vertical="center"/>
    </xf>
    <xf borderId="26" fillId="0" fontId="3" numFmtId="0" xfId="0" applyAlignment="1" applyBorder="1" applyFont="1">
      <alignment vertical="center"/>
    </xf>
    <xf borderId="0" fillId="0" fontId="5" numFmtId="168" xfId="0" applyAlignment="1" applyFont="1" applyNumberFormat="1">
      <alignment vertical="center"/>
    </xf>
    <xf borderId="1" fillId="0" fontId="1" numFmtId="169" xfId="0" applyAlignment="1" applyBorder="1" applyFont="1" applyNumberFormat="1">
      <alignment horizontal="center" vertical="center"/>
    </xf>
    <xf borderId="26" fillId="0" fontId="3" numFmtId="0" xfId="0" applyAlignment="1" applyBorder="1" applyFont="1">
      <alignment horizontal="left" vertical="center"/>
    </xf>
    <xf borderId="19" fillId="2" fontId="1" numFmtId="0" xfId="0" applyAlignment="1" applyBorder="1" applyFont="1">
      <alignment vertical="center"/>
    </xf>
    <xf borderId="20" fillId="2" fontId="1" numFmtId="0" xfId="0" applyAlignment="1" applyBorder="1" applyFont="1">
      <alignment vertical="center"/>
    </xf>
    <xf borderId="20" fillId="2" fontId="1" numFmtId="165" xfId="0" applyAlignment="1" applyBorder="1" applyFont="1" applyNumberFormat="1">
      <alignment vertical="center"/>
    </xf>
    <xf borderId="1" fillId="11" fontId="1" numFmtId="0" xfId="0" applyAlignment="1" applyBorder="1" applyFont="1">
      <alignment vertical="center"/>
    </xf>
    <xf borderId="1" fillId="7" fontId="6" numFmtId="170" xfId="0" applyAlignment="1" applyBorder="1" applyFont="1" applyNumberFormat="1">
      <alignment horizontal="center" vertical="center"/>
    </xf>
    <xf borderId="1" fillId="0" fontId="1" numFmtId="0" xfId="0" applyAlignment="1" applyBorder="1" applyFont="1">
      <alignment horizontal="center" readingOrder="0" vertical="center"/>
    </xf>
    <xf borderId="1" fillId="0" fontId="1" numFmtId="165" xfId="0" applyAlignment="1" applyBorder="1" applyFont="1" applyNumberFormat="1">
      <alignment horizontal="center" vertical="center"/>
    </xf>
    <xf borderId="1" fillId="0" fontId="1" numFmtId="170" xfId="0" applyAlignment="1" applyBorder="1" applyFont="1" applyNumberFormat="1">
      <alignment horizontal="center" vertical="center"/>
    </xf>
    <xf borderId="23" fillId="11" fontId="5" numFmtId="0" xfId="0" applyAlignment="1" applyBorder="1" applyFont="1">
      <alignment horizontal="center" vertical="center"/>
    </xf>
    <xf borderId="23" fillId="0" fontId="5" numFmtId="169" xfId="0" applyAlignment="1" applyBorder="1" applyFont="1" applyNumberFormat="1">
      <alignment horizontal="center" vertical="center"/>
    </xf>
    <xf borderId="0" fillId="0" fontId="7" numFmtId="165" xfId="0" applyAlignment="1" applyFont="1" applyNumberFormat="1">
      <alignment vertical="center"/>
    </xf>
    <xf borderId="23" fillId="13" fontId="5" numFmtId="0" xfId="0" applyAlignment="1" applyBorder="1" applyFont="1">
      <alignment vertical="center"/>
    </xf>
    <xf borderId="17" fillId="0" fontId="2" numFmtId="0" xfId="0" applyAlignment="1" applyBorder="1" applyFont="1">
      <alignment vertical="center"/>
    </xf>
    <xf borderId="1" fillId="3" fontId="1" numFmtId="0" xfId="0" applyAlignment="1" applyBorder="1" applyFont="1">
      <alignment vertical="center"/>
    </xf>
    <xf borderId="1" fillId="3" fontId="1" numFmtId="166" xfId="0" applyAlignment="1" applyBorder="1" applyFont="1" applyNumberFormat="1">
      <alignment horizontal="center" vertical="center"/>
    </xf>
    <xf borderId="1" fillId="3" fontId="1" numFmtId="0" xfId="0" applyAlignment="1" applyBorder="1" applyFont="1">
      <alignment horizontal="center" vertical="center"/>
    </xf>
    <xf borderId="1" fillId="3" fontId="1" numFmtId="165" xfId="0" applyAlignment="1" applyBorder="1" applyFont="1" applyNumberFormat="1">
      <alignment horizontal="center" vertical="center"/>
    </xf>
    <xf borderId="1" fillId="3" fontId="1" numFmtId="170" xfId="0" applyAlignment="1" applyBorder="1" applyFont="1" applyNumberFormat="1">
      <alignment horizontal="center" vertical="center"/>
    </xf>
    <xf borderId="23" fillId="3" fontId="5" numFmtId="164" xfId="0" applyAlignment="1" applyBorder="1" applyFont="1" applyNumberFormat="1">
      <alignment horizontal="center" vertical="center"/>
    </xf>
    <xf borderId="23" fillId="3" fontId="5" numFmtId="169" xfId="0" applyAlignment="1" applyBorder="1" applyFont="1" applyNumberFormat="1">
      <alignment horizontal="center" vertical="center"/>
    </xf>
    <xf borderId="27" fillId="14" fontId="5" numFmtId="0" xfId="0" applyAlignment="1" applyBorder="1" applyFill="1" applyFont="1">
      <alignment horizontal="center" vertical="center"/>
    </xf>
    <xf borderId="28" fillId="0" fontId="2" numFmtId="0" xfId="0" applyAlignment="1" applyBorder="1" applyFont="1">
      <alignment vertical="center"/>
    </xf>
    <xf borderId="29" fillId="0" fontId="2" numFmtId="0" xfId="0" applyAlignment="1" applyBorder="1" applyFont="1">
      <alignment vertical="center"/>
    </xf>
    <xf borderId="16" fillId="15" fontId="1" numFmtId="0" xfId="0" applyAlignment="1" applyBorder="1" applyFill="1" applyFont="1">
      <alignment horizontal="center" vertical="center"/>
    </xf>
    <xf borderId="16" fillId="15" fontId="1" numFmtId="165" xfId="0" applyAlignment="1" applyBorder="1" applyFont="1" applyNumberFormat="1">
      <alignment horizontal="center" vertical="center"/>
    </xf>
    <xf borderId="21" fillId="15" fontId="5" numFmtId="0" xfId="0" applyAlignment="1" applyBorder="1" applyFont="1">
      <alignment horizontal="center" vertical="center"/>
    </xf>
    <xf borderId="23" fillId="15" fontId="5" numFmtId="0" xfId="0" applyAlignment="1" applyBorder="1" applyFont="1">
      <alignment horizontal="center" vertical="center"/>
    </xf>
    <xf borderId="1" fillId="0" fontId="6" numFmtId="165" xfId="0" applyAlignment="1" applyBorder="1" applyFont="1" applyNumberFormat="1">
      <alignment horizontal="center" vertical="center"/>
    </xf>
    <xf borderId="1" fillId="0" fontId="6" numFmtId="9" xfId="0" applyAlignment="1" applyBorder="1" applyFont="1" applyNumberFormat="1">
      <alignment horizontal="center" vertical="center"/>
    </xf>
    <xf borderId="0" fillId="0" fontId="9" numFmtId="0" xfId="0" applyAlignment="1" applyFont="1">
      <alignment vertical="center"/>
    </xf>
    <xf borderId="30" fillId="15" fontId="1" numFmtId="0" xfId="0" applyAlignment="1" applyBorder="1" applyFont="1">
      <alignment horizontal="center" vertical="center"/>
    </xf>
    <xf borderId="30" fillId="15" fontId="1" numFmtId="165" xfId="0" applyAlignment="1" applyBorder="1" applyFont="1" applyNumberFormat="1">
      <alignment horizontal="center" vertical="center"/>
    </xf>
    <xf borderId="0" fillId="0" fontId="10" numFmtId="0" xfId="0" applyAlignment="1" applyFont="1">
      <alignment vertical="center"/>
    </xf>
    <xf borderId="0" fillId="0" fontId="3" numFmtId="0" xfId="0" applyAlignment="1" applyFont="1">
      <alignment horizontal="left" vertical="center"/>
    </xf>
    <xf borderId="0" fillId="0" fontId="1" numFmtId="169" xfId="0" applyAlignment="1" applyFont="1" applyNumberFormat="1">
      <alignment vertical="center"/>
    </xf>
    <xf borderId="0" fillId="0" fontId="1" numFmtId="166" xfId="0" applyAlignment="1" applyFont="1" applyNumberFormat="1">
      <alignment vertical="center"/>
    </xf>
    <xf borderId="0" fillId="0" fontId="7" numFmtId="166" xfId="0" applyAlignment="1" applyFont="1" applyNumberFormat="1">
      <alignment vertical="center"/>
    </xf>
    <xf borderId="0" fillId="0" fontId="7" numFmtId="9"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伤害提升百分比</c:v>
          </c:tx>
          <c:spPr>
            <a:ln cmpd="sng" w="28575">
              <a:solidFill>
                <a:schemeClr val="accent1"/>
              </a:solidFill>
            </a:ln>
          </c:spPr>
          <c:marker>
            <c:symbol val="none"/>
          </c:marker>
          <c:cat>
            <c:strRef>
              <c:f>'攻击提升收益'!$A$2:$A$31</c:f>
            </c:strRef>
          </c:cat>
          <c:val>
            <c:numRef>
              <c:f>'攻击提升收益'!$C$2:$C$31</c:f>
              <c:numCache/>
            </c:numRef>
          </c:val>
          <c:smooth val="0"/>
        </c:ser>
        <c:ser>
          <c:idx val="1"/>
          <c:order val="1"/>
          <c:tx>
            <c:v>y=0.1</c:v>
          </c:tx>
          <c:spPr>
            <a:ln cmpd="sng" w="28575">
              <a:solidFill>
                <a:schemeClr val="accent2"/>
              </a:solidFill>
            </a:ln>
          </c:spPr>
          <c:marker>
            <c:symbol val="none"/>
          </c:marker>
          <c:cat>
            <c:strRef>
              <c:f>'攻击提升收益'!$A$2:$A$31</c:f>
            </c:strRef>
          </c:cat>
          <c:val>
            <c:numRef>
              <c:f>'攻击提升收益'!$D$2:$D$31</c:f>
              <c:numCache/>
            </c:numRef>
          </c:val>
          <c:smooth val="0"/>
        </c:ser>
        <c:axId val="1510915857"/>
        <c:axId val="3053083"/>
      </c:lineChart>
      <c:catAx>
        <c:axId val="1510915857"/>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攻击提升量</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3053083"/>
      </c:catAx>
      <c:valAx>
        <c:axId val="3053083"/>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伤害提升百分比</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10915857"/>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每增加100点攻击收益率</c:v>
          </c:tx>
          <c:spPr>
            <a:ln cmpd="sng" w="28575">
              <a:solidFill>
                <a:schemeClr val="accent1"/>
              </a:solidFill>
            </a:ln>
          </c:spPr>
          <c:marker>
            <c:symbol val="none"/>
          </c:marker>
          <c:cat>
            <c:strRef>
              <c:f>'攻击提升收益'!$E$2:$E$26</c:f>
            </c:strRef>
          </c:cat>
          <c:val>
            <c:numRef>
              <c:f>'攻击提升收益'!$F$2:$F$26</c:f>
              <c:numCache/>
            </c:numRef>
          </c:val>
          <c:smooth val="0"/>
        </c:ser>
        <c:axId val="1248941794"/>
        <c:axId val="2045410023"/>
      </c:lineChart>
      <c:catAx>
        <c:axId val="1248941794"/>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当前攻击</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45410023"/>
      </c:catAx>
      <c:valAx>
        <c:axId val="204541002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248941794"/>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每增加50点元素攻击收益率</c:v>
          </c:tx>
          <c:spPr>
            <a:ln cmpd="sng" w="28575">
              <a:solidFill>
                <a:schemeClr val="accent1"/>
              </a:solidFill>
            </a:ln>
          </c:spPr>
          <c:marker>
            <c:symbol val="none"/>
          </c:marker>
          <c:cat>
            <c:strRef>
              <c:f>'元素攻击提升收益'!$D$2:$D$37</c:f>
            </c:strRef>
          </c:cat>
          <c:val>
            <c:numRef>
              <c:f>'元素攻击提升收益'!$E$2:$E$37</c:f>
              <c:numCache/>
            </c:numRef>
          </c:val>
          <c:smooth val="0"/>
        </c:ser>
        <c:axId val="1111842052"/>
        <c:axId val="763344778"/>
      </c:lineChart>
      <c:catAx>
        <c:axId val="1111842052"/>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当前元素攻击</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63344778"/>
      </c:catAx>
      <c:valAx>
        <c:axId val="76334477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111842052"/>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元素攻击提升伤害百分比</c:v>
          </c:tx>
          <c:spPr>
            <a:ln cmpd="sng" w="28575">
              <a:solidFill>
                <a:schemeClr val="accent1"/>
              </a:solidFill>
            </a:ln>
          </c:spPr>
          <c:marker>
            <c:symbol val="none"/>
          </c:marker>
          <c:cat>
            <c:strRef>
              <c:f>'元素攻击提升收益'!$A$2:$A$28</c:f>
            </c:strRef>
          </c:cat>
          <c:val>
            <c:numRef>
              <c:f>'元素攻击提升收益'!$C$2:$C$28</c:f>
              <c:numCache/>
            </c:numRef>
          </c:val>
          <c:smooth val="0"/>
        </c:ser>
        <c:ser>
          <c:idx val="1"/>
          <c:order val="1"/>
          <c:tx>
            <c:v>y=0.1</c:v>
          </c:tx>
          <c:spPr>
            <a:ln cmpd="sng" w="28575">
              <a:solidFill>
                <a:schemeClr val="accent2"/>
              </a:solidFill>
            </a:ln>
          </c:spPr>
          <c:marker>
            <c:symbol val="none"/>
          </c:marker>
          <c:cat>
            <c:strRef>
              <c:f>'元素攻击提升收益'!$A$2:$A$28</c:f>
            </c:strRef>
          </c:cat>
          <c:val>
            <c:numRef>
              <c:f>'元素攻击提升收益'!$F$2:$F$28</c:f>
              <c:numCache/>
            </c:numRef>
          </c:val>
          <c:smooth val="0"/>
        </c:ser>
        <c:axId val="2016002455"/>
        <c:axId val="1146606698"/>
      </c:lineChart>
      <c:catAx>
        <c:axId val="2016002455"/>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元素攻击提升量</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146606698"/>
      </c:catAx>
      <c:valAx>
        <c:axId val="1146606698"/>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伤害提升百分比</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16002455"/>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伤害提升百分比</c:v>
          </c:tx>
          <c:spPr>
            <a:ln cmpd="sng" w="28575">
              <a:solidFill>
                <a:srgbClr val="4472C4">
                  <a:alpha val="100000"/>
                </a:srgbClr>
              </a:solidFill>
            </a:ln>
          </c:spPr>
          <c:marker>
            <c:symbol val="none"/>
          </c:marker>
          <c:cat>
            <c:strRef>
              <c:f>'破防提升收益'!$A$2:$A$18</c:f>
            </c:strRef>
          </c:cat>
          <c:val>
            <c:numRef>
              <c:f>'破防提升收益'!$E$2:$E$18</c:f>
              <c:numCache/>
            </c:numRef>
          </c:val>
          <c:smooth val="0"/>
        </c:ser>
        <c:ser>
          <c:idx val="1"/>
          <c:order val="1"/>
          <c:tx>
            <c:v>y=0.1</c:v>
          </c:tx>
          <c:spPr>
            <a:ln cmpd="sng" w="28575">
              <a:solidFill>
                <a:srgbClr val="ED7D31">
                  <a:alpha val="100000"/>
                </a:srgbClr>
              </a:solidFill>
            </a:ln>
          </c:spPr>
          <c:marker>
            <c:symbol val="none"/>
          </c:marker>
          <c:cat>
            <c:strRef>
              <c:f>'破防提升收益'!$A$2:$A$18</c:f>
            </c:strRef>
          </c:cat>
          <c:val>
            <c:numRef>
              <c:f>'破防提升收益'!$F$2:$F$18</c:f>
              <c:numCache/>
            </c:numRef>
          </c:val>
          <c:smooth val="0"/>
        </c:ser>
        <c:axId val="1529679506"/>
        <c:axId val="1938263032"/>
      </c:lineChart>
      <c:catAx>
        <c:axId val="1529679506"/>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破防提升量</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938263032"/>
      </c:catAx>
      <c:valAx>
        <c:axId val="1938263032"/>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伤害提升百分比</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29679506"/>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2830188679245"/>
          <c:y val="0.176919408679065"/>
          <c:w val="0.867672955974843"/>
          <c:h val="0.549928469241774"/>
        </c:manualLayout>
      </c:layout>
      <c:lineChart>
        <c:varyColors val="0"/>
        <c:ser>
          <c:idx val="0"/>
          <c:order val="0"/>
          <c:tx>
            <c:v>每增加150点破防收益率</c:v>
          </c:tx>
          <c:spPr>
            <a:ln cmpd="sng" w="28575">
              <a:solidFill>
                <a:schemeClr val="accent1"/>
              </a:solidFill>
            </a:ln>
          </c:spPr>
          <c:marker>
            <c:symbol val="none"/>
          </c:marker>
          <c:trendline>
            <c:name>Linear (每增加150点破防收益率)</c:name>
            <c:spPr>
              <a:ln w="19050">
                <a:solidFill>
                  <a:srgbClr val="000000">
                    <a:alpha val="0"/>
                  </a:srgbClr>
                </a:solidFill>
              </a:ln>
            </c:spPr>
            <c:trendlineType val="linear"/>
            <c:dispRSqr val="0"/>
            <c:dispEq val="0"/>
          </c:trendline>
          <c:cat>
            <c:strRef>
              <c:f>'破防提升收益'!$G$2:$G$17</c:f>
            </c:strRef>
          </c:cat>
          <c:val>
            <c:numRef>
              <c:f>'破防提升收益'!$H$2:$H$17</c:f>
              <c:numCache/>
            </c:numRef>
          </c:val>
          <c:smooth val="0"/>
        </c:ser>
        <c:axId val="1444350608"/>
        <c:axId val="1617095246"/>
      </c:lineChart>
      <c:catAx>
        <c:axId val="1444350608"/>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当前破防</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17095246"/>
      </c:catAx>
      <c:valAx>
        <c:axId val="16170952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444350608"/>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每增加21点命中收益率</a:t>
            </a:r>
          </a:p>
        </c:rich>
      </c:tx>
      <c:overlay val="0"/>
    </c:title>
    <c:plotArea>
      <c:layout/>
      <c:lineChart>
        <c:varyColors val="0"/>
        <c:ser>
          <c:idx val="0"/>
          <c:order val="0"/>
          <c:tx>
            <c:v>每增加21点命中收益率</c:v>
          </c:tx>
          <c:spPr>
            <a:ln cmpd="sng" w="28575">
              <a:solidFill>
                <a:srgbClr val="4472C4">
                  <a:alpha val="100000"/>
                </a:srgbClr>
              </a:solidFill>
            </a:ln>
          </c:spPr>
          <c:marker>
            <c:symbol val="none"/>
          </c:marker>
          <c:cat>
            <c:strRef>
              <c:f>'命中提升收益'!$B$2:$B$16</c:f>
            </c:strRef>
          </c:cat>
          <c:val>
            <c:numRef>
              <c:f>'命中提升收益'!$F$2:$F$16</c:f>
              <c:numCache/>
            </c:numRef>
          </c:val>
          <c:smooth val="0"/>
        </c:ser>
        <c:axId val="768764656"/>
        <c:axId val="724788768"/>
      </c:lineChart>
      <c:catAx>
        <c:axId val="768764656"/>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当前命中</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24788768"/>
      </c:catAx>
      <c:valAx>
        <c:axId val="7247887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768764656"/>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w="28575">
              <a:solidFill>
                <a:schemeClr val="accent1"/>
              </a:solidFill>
            </a:ln>
          </c:spPr>
          <c:marker>
            <c:symbol val="none"/>
          </c:marker>
          <c:cat>
            <c:strRef>
              <c:f>'命中提升收益'!$A$2:$A$17</c:f>
            </c:strRef>
          </c:cat>
          <c:val>
            <c:numRef>
              <c:f>'命中提升收益'!$E$2:$E$17</c:f>
              <c:numCache/>
            </c:numRef>
          </c:val>
          <c:smooth val="0"/>
        </c:ser>
        <c:ser>
          <c:idx val="1"/>
          <c:order val="1"/>
          <c:spPr>
            <a:ln cmpd="sng" w="28575">
              <a:solidFill>
                <a:schemeClr val="accent2"/>
              </a:solidFill>
            </a:ln>
          </c:spPr>
          <c:marker>
            <c:symbol val="none"/>
          </c:marker>
          <c:cat>
            <c:strRef>
              <c:f>'命中提升收益'!$A$2:$A$17</c:f>
            </c:strRef>
          </c:cat>
          <c:val>
            <c:numRef>
              <c:f>'命中提升收益'!$G$2:$G$17</c:f>
              <c:numCache/>
            </c:numRef>
          </c:val>
          <c:smooth val="0"/>
        </c:ser>
        <c:axId val="397895244"/>
        <c:axId val="1872384459"/>
      </c:lineChart>
      <c:catAx>
        <c:axId val="397895244"/>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命中提升量</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72384459"/>
      </c:catAx>
      <c:valAx>
        <c:axId val="1872384459"/>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伤害提升百分比</a:t>
                </a:r>
              </a:p>
            </c:rich>
          </c:tx>
          <c:layout>
            <c:manualLayout>
              <c:xMode val="edge"/>
              <c:yMode val="edge"/>
              <c:x val="0.0277777777777778"/>
              <c:y val="0.354668270632838"/>
            </c:manualLayout>
          </c:layout>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397895244"/>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每增加25点会心收益率</c:v>
          </c:tx>
          <c:spPr>
            <a:ln cmpd="sng" w="28575">
              <a:solidFill>
                <a:schemeClr val="accent1"/>
              </a:solidFill>
            </a:ln>
          </c:spPr>
          <c:marker>
            <c:symbol val="none"/>
          </c:marker>
          <c:cat>
            <c:strRef>
              <c:f>'会心提升收益'!$B$2:$B$20</c:f>
            </c:strRef>
          </c:cat>
          <c:val>
            <c:numRef>
              <c:f>'会心提升收益'!$F$2:$F$20</c:f>
              <c:numCache/>
            </c:numRef>
          </c:val>
          <c:smooth val="0"/>
        </c:ser>
        <c:axId val="1849748950"/>
        <c:axId val="159880270"/>
      </c:lineChart>
      <c:catAx>
        <c:axId val="1849748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9880270"/>
      </c:catAx>
      <c:valAx>
        <c:axId val="1598802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84974895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系列1</c:v>
          </c:tx>
          <c:spPr>
            <a:ln cmpd="sng" w="28575">
              <a:solidFill>
                <a:schemeClr val="accent1"/>
              </a:solidFill>
            </a:ln>
          </c:spPr>
          <c:marker>
            <c:symbol val="none"/>
          </c:marker>
          <c:cat>
            <c:strRef>
              <c:f>'会心提升收益'!$A$2:$A$21</c:f>
            </c:strRef>
          </c:cat>
          <c:val>
            <c:numRef>
              <c:f>'会心提升收益'!$E$2:$E$21</c:f>
              <c:numCache/>
            </c:numRef>
          </c:val>
          <c:smooth val="0"/>
        </c:ser>
        <c:ser>
          <c:idx val="1"/>
          <c:order val="1"/>
          <c:tx>
            <c:v>0.1 0.1 0.1 0.1 0.1 0.1 0.1 0.1 0.1 0.1 0.1 0.1 0.1 0.1 0.1 0.1 0.1 0.1 0.1 0.1</c:v>
          </c:tx>
          <c:spPr>
            <a:ln cmpd="sng" w="28575">
              <a:solidFill>
                <a:schemeClr val="accent2"/>
              </a:solidFill>
            </a:ln>
          </c:spPr>
          <c:marker>
            <c:symbol val="none"/>
          </c:marker>
          <c:cat>
            <c:strRef>
              <c:f>'会心提升收益'!$A$2:$A$21</c:f>
            </c:strRef>
          </c:cat>
          <c:val>
            <c:numRef>
              <c:f>'会心提升收益'!$G$2:$G$21</c:f>
              <c:numCache/>
            </c:numRef>
          </c:val>
          <c:smooth val="0"/>
        </c:ser>
        <c:axId val="1358655765"/>
        <c:axId val="1509991004"/>
      </c:lineChart>
      <c:catAx>
        <c:axId val="1358655765"/>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会心提升量</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09991004"/>
      </c:catAx>
      <c:valAx>
        <c:axId val="1509991004"/>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伤害提升百分比</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58655765"/>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514350</xdr:colOff>
      <xdr:row>0</xdr:row>
      <xdr:rowOff>0</xdr:rowOff>
    </xdr:from>
    <xdr:ext cx="4591050" cy="3324225"/>
    <xdr:graphicFrame>
      <xdr:nvGraphicFramePr>
        <xdr:cNvPr id="42108460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590550</xdr:colOff>
      <xdr:row>19</xdr:row>
      <xdr:rowOff>38100</xdr:rowOff>
    </xdr:from>
    <xdr:ext cx="4505325" cy="2838450"/>
    <xdr:graphicFrame>
      <xdr:nvGraphicFramePr>
        <xdr:cNvPr id="1196203147"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14</xdr:row>
      <xdr:rowOff>142875</xdr:rowOff>
    </xdr:from>
    <xdr:ext cx="3848100" cy="2762250"/>
    <xdr:graphicFrame>
      <xdr:nvGraphicFramePr>
        <xdr:cNvPr id="810020767"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76200</xdr:colOff>
      <xdr:row>0</xdr:row>
      <xdr:rowOff>0</xdr:rowOff>
    </xdr:from>
    <xdr:ext cx="3867150" cy="2609850"/>
    <xdr:graphicFrame>
      <xdr:nvGraphicFramePr>
        <xdr:cNvPr id="238358411"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152400</xdr:colOff>
      <xdr:row>0</xdr:row>
      <xdr:rowOff>0</xdr:rowOff>
    </xdr:from>
    <xdr:ext cx="3857625" cy="3038475"/>
    <xdr:graphicFrame>
      <xdr:nvGraphicFramePr>
        <xdr:cNvPr id="993054911"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114300</xdr:colOff>
      <xdr:row>17</xdr:row>
      <xdr:rowOff>0</xdr:rowOff>
    </xdr:from>
    <xdr:ext cx="3933825" cy="2743200"/>
    <xdr:graphicFrame>
      <xdr:nvGraphicFramePr>
        <xdr:cNvPr id="442723594" name="Chart 6"/>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209550</xdr:colOff>
      <xdr:row>0</xdr:row>
      <xdr:rowOff>0</xdr:rowOff>
    </xdr:from>
    <xdr:ext cx="4505325" cy="2828925"/>
    <xdr:graphicFrame>
      <xdr:nvGraphicFramePr>
        <xdr:cNvPr id="1782574507"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17</xdr:row>
      <xdr:rowOff>19050</xdr:rowOff>
    </xdr:from>
    <xdr:ext cx="4505325" cy="2828925"/>
    <xdr:graphicFrame>
      <xdr:nvGraphicFramePr>
        <xdr:cNvPr id="1520934481" name="Chart 8"/>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457200</xdr:colOff>
      <xdr:row>0</xdr:row>
      <xdr:rowOff>57150</xdr:rowOff>
    </xdr:from>
    <xdr:ext cx="4495800" cy="2838450"/>
    <xdr:graphicFrame>
      <xdr:nvGraphicFramePr>
        <xdr:cNvPr id="577662037" name="Chart 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495300</xdr:colOff>
      <xdr:row>16</xdr:row>
      <xdr:rowOff>152400</xdr:rowOff>
    </xdr:from>
    <xdr:ext cx="5019675" cy="2819400"/>
    <xdr:graphicFrame>
      <xdr:nvGraphicFramePr>
        <xdr:cNvPr id="415494520" name="Chart 10"/>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9.0"/>
    <col customWidth="1" min="5" max="5" width="17.29"/>
    <col customWidth="1" min="6" max="6" width="17.0"/>
    <col customWidth="1" min="7" max="7" width="76.0"/>
    <col customWidth="1" min="8" max="26" width="9.0"/>
  </cols>
  <sheetData>
    <row r="1" ht="14.25" customHeight="1"/>
    <row r="2" ht="14.25" customHeight="1"/>
    <row r="3" ht="14.25" customHeight="1"/>
    <row r="4" ht="14.25" customHeight="1"/>
    <row r="5" ht="14.25" customHeight="1"/>
    <row r="6" ht="14.25" customHeight="1"/>
    <row r="7" ht="14.25" customHeight="1">
      <c r="D7" s="1" t="s">
        <v>0</v>
      </c>
      <c r="E7" s="1" t="s">
        <v>1</v>
      </c>
      <c r="F7" s="1" t="s">
        <v>2</v>
      </c>
      <c r="G7" s="1" t="s">
        <v>3</v>
      </c>
    </row>
    <row r="8" ht="51.75" customHeight="1">
      <c r="D8" s="2">
        <v>1.0</v>
      </c>
      <c r="E8" s="3">
        <v>45139.0</v>
      </c>
      <c r="F8" s="4" t="s">
        <v>4</v>
      </c>
      <c r="G8" s="4" t="s">
        <v>5</v>
      </c>
    </row>
    <row r="9" ht="85.5" customHeight="1">
      <c r="D9" s="4">
        <v>1.1</v>
      </c>
      <c r="E9" s="3">
        <v>45149.0</v>
      </c>
      <c r="F9" s="4" t="s">
        <v>4</v>
      </c>
      <c r="G9" s="5" t="s">
        <v>6</v>
      </c>
    </row>
    <row r="10" ht="14.25" customHeight="1">
      <c r="D10" s="4">
        <v>1.2</v>
      </c>
      <c r="E10" s="3">
        <v>45253.0</v>
      </c>
      <c r="F10" s="4" t="s">
        <v>7</v>
      </c>
      <c r="G10" s="5" t="s">
        <v>8</v>
      </c>
    </row>
    <row r="11" ht="14.25" customHeight="1">
      <c r="D11" s="4">
        <v>1.3</v>
      </c>
      <c r="E11" s="3">
        <v>45267.0</v>
      </c>
      <c r="F11" s="4" t="s">
        <v>7</v>
      </c>
      <c r="G11" s="5" t="s">
        <v>9</v>
      </c>
    </row>
    <row r="12" ht="14.25" customHeight="1">
      <c r="D12" s="6">
        <v>2.1</v>
      </c>
      <c r="E12" s="7">
        <v>45492.0</v>
      </c>
      <c r="F12" s="6" t="s">
        <v>10</v>
      </c>
      <c r="G12" s="8" t="s">
        <v>11</v>
      </c>
    </row>
    <row r="13" ht="14.25" customHeight="1">
      <c r="D13" s="9"/>
      <c r="E13" s="9"/>
      <c r="F13" s="9"/>
      <c r="G13" s="9"/>
    </row>
    <row r="14" ht="14.25" customHeight="1">
      <c r="D14" s="9"/>
      <c r="E14" s="9"/>
      <c r="F14" s="9"/>
      <c r="G14" s="9"/>
    </row>
    <row r="15" ht="14.25" customHeight="1">
      <c r="D15" s="9"/>
      <c r="E15" s="9"/>
      <c r="F15" s="9"/>
      <c r="G15" s="9"/>
    </row>
    <row r="16" ht="14.25" customHeight="1">
      <c r="D16" s="9"/>
      <c r="E16" s="9"/>
      <c r="F16" s="9"/>
      <c r="G16" s="9"/>
    </row>
    <row r="17" ht="14.25" customHeight="1">
      <c r="D17" s="10"/>
      <c r="E17" s="10"/>
      <c r="F17" s="10"/>
      <c r="G17" s="10"/>
    </row>
    <row r="18" ht="14.25" customHeight="1">
      <c r="D18" s="4" t="s">
        <v>12</v>
      </c>
      <c r="E18" s="3">
        <v>45493.0</v>
      </c>
      <c r="F18" s="4" t="s">
        <v>10</v>
      </c>
      <c r="G18" s="11" t="s">
        <v>13</v>
      </c>
    </row>
    <row r="19" ht="14.25" customHeight="1">
      <c r="D19" s="4" t="s">
        <v>14</v>
      </c>
      <c r="E19" s="3">
        <v>45493.0</v>
      </c>
      <c r="F19" s="4" t="s">
        <v>10</v>
      </c>
      <c r="G19" s="12" t="s">
        <v>15</v>
      </c>
    </row>
    <row r="20" ht="14.25" customHeight="1">
      <c r="D20" s="6" t="s">
        <v>16</v>
      </c>
      <c r="E20" s="7">
        <v>45493.0</v>
      </c>
      <c r="F20" s="6" t="s">
        <v>10</v>
      </c>
      <c r="G20" s="8" t="s">
        <v>17</v>
      </c>
    </row>
    <row r="21" ht="14.25" customHeight="1">
      <c r="D21" s="10"/>
      <c r="E21" s="10"/>
      <c r="F21" s="10"/>
      <c r="G21" s="10"/>
    </row>
    <row r="22" ht="14.25" customHeight="1">
      <c r="D22" s="6" t="s">
        <v>18</v>
      </c>
      <c r="E22" s="7">
        <v>45498.0</v>
      </c>
      <c r="F22" s="6" t="s">
        <v>10</v>
      </c>
      <c r="G22" s="8" t="s">
        <v>19</v>
      </c>
    </row>
    <row r="23" ht="14.25" customHeight="1">
      <c r="D23" s="9"/>
      <c r="E23" s="9"/>
      <c r="F23" s="9"/>
      <c r="G23" s="9"/>
    </row>
    <row r="24" ht="14.25" customHeight="1">
      <c r="D24" s="10"/>
      <c r="E24" s="10"/>
      <c r="F24" s="10"/>
      <c r="G24" s="10"/>
    </row>
    <row r="25" ht="14.25" customHeight="1">
      <c r="D25" s="4" t="s">
        <v>20</v>
      </c>
      <c r="E25" s="3">
        <v>45499.0</v>
      </c>
      <c r="F25" s="4" t="s">
        <v>10</v>
      </c>
      <c r="G25" s="11" t="s">
        <v>21</v>
      </c>
    </row>
    <row r="26" ht="14.25" customHeight="1">
      <c r="D26" s="4" t="s">
        <v>22</v>
      </c>
      <c r="E26" s="3">
        <v>45507.0</v>
      </c>
      <c r="F26" s="4" t="s">
        <v>10</v>
      </c>
      <c r="G26" s="11" t="s">
        <v>23</v>
      </c>
    </row>
    <row r="27" ht="14.25" customHeight="1">
      <c r="D27" s="4" t="s">
        <v>24</v>
      </c>
      <c r="E27" s="3">
        <v>45513.0</v>
      </c>
      <c r="F27" s="4" t="s">
        <v>10</v>
      </c>
      <c r="G27" s="11" t="s">
        <v>25</v>
      </c>
    </row>
    <row r="28" ht="14.25" customHeight="1">
      <c r="D28" s="4" t="s">
        <v>26</v>
      </c>
      <c r="E28" s="3">
        <v>45533.0</v>
      </c>
      <c r="F28" s="4" t="s">
        <v>10</v>
      </c>
      <c r="G28" s="11" t="s">
        <v>27</v>
      </c>
    </row>
    <row r="29" ht="14.25" customHeight="1">
      <c r="D29" s="4" t="s">
        <v>28</v>
      </c>
      <c r="E29" s="3">
        <v>45555.0</v>
      </c>
      <c r="F29" s="4" t="s">
        <v>10</v>
      </c>
      <c r="G29" s="12" t="s">
        <v>29</v>
      </c>
    </row>
    <row r="30" ht="14.25" customHeight="1">
      <c r="D30" s="4" t="s">
        <v>30</v>
      </c>
      <c r="E30" s="3">
        <v>45591.0</v>
      </c>
      <c r="F30" s="4" t="s">
        <v>10</v>
      </c>
      <c r="G30" s="12" t="s">
        <v>31</v>
      </c>
    </row>
    <row r="31" ht="14.25" customHeight="1">
      <c r="D31" s="4" t="s">
        <v>32</v>
      </c>
      <c r="E31" s="3">
        <v>45593.0</v>
      </c>
      <c r="F31" s="4" t="s">
        <v>10</v>
      </c>
      <c r="G31" s="11" t="s">
        <v>33</v>
      </c>
    </row>
    <row r="32" ht="14.25" customHeight="1">
      <c r="D32" s="4" t="s">
        <v>34</v>
      </c>
      <c r="E32" s="3">
        <v>45610.0</v>
      </c>
      <c r="F32" s="4" t="s">
        <v>10</v>
      </c>
      <c r="G32" s="12" t="s">
        <v>35</v>
      </c>
    </row>
    <row r="33" ht="14.25" customHeight="1">
      <c r="D33" s="4" t="s">
        <v>36</v>
      </c>
      <c r="E33" s="3">
        <v>45639.0</v>
      </c>
      <c r="F33" s="4" t="s">
        <v>10</v>
      </c>
      <c r="G33" s="12" t="s">
        <v>37</v>
      </c>
    </row>
    <row r="34" ht="14.25" customHeight="1">
      <c r="D34" s="4" t="s">
        <v>38</v>
      </c>
      <c r="E34" s="3">
        <v>45652.0</v>
      </c>
      <c r="F34" s="4" t="s">
        <v>10</v>
      </c>
      <c r="G34" s="5" t="s">
        <v>39</v>
      </c>
    </row>
    <row r="35" ht="14.25" customHeight="1">
      <c r="D35" s="4" t="s">
        <v>40</v>
      </c>
      <c r="E35" s="3">
        <v>45660.0</v>
      </c>
      <c r="F35" s="4" t="s">
        <v>10</v>
      </c>
      <c r="G35" s="12" t="s">
        <v>41</v>
      </c>
    </row>
    <row r="36" ht="14.25" customHeight="1">
      <c r="D36" s="4" t="s">
        <v>42</v>
      </c>
      <c r="E36" s="3">
        <v>45696.0</v>
      </c>
      <c r="F36" s="4" t="s">
        <v>10</v>
      </c>
      <c r="G36" s="13" t="s">
        <v>43</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D20:D21"/>
    <mergeCell ref="D22:D24"/>
    <mergeCell ref="E22:E24"/>
    <mergeCell ref="F22:F24"/>
    <mergeCell ref="G22:G24"/>
    <mergeCell ref="D12:D17"/>
    <mergeCell ref="E12:E17"/>
    <mergeCell ref="F12:F17"/>
    <mergeCell ref="G12:G17"/>
    <mergeCell ref="E20:E21"/>
    <mergeCell ref="F20:F21"/>
    <mergeCell ref="G20:G2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3.57"/>
    <col customWidth="1" min="3" max="3" width="13.86"/>
    <col customWidth="1" min="4" max="4" width="16.43"/>
    <col customWidth="1" min="5" max="5" width="14.43"/>
    <col customWidth="1" min="6" max="6" width="14.71"/>
    <col customWidth="1" min="7" max="7" width="13.43"/>
    <col customWidth="1" min="8" max="8" width="12.43"/>
    <col customWidth="1" min="9" max="9" width="13.86"/>
    <col customWidth="1" min="10" max="10" width="13.29"/>
    <col customWidth="1" min="11" max="11" width="16.14"/>
    <col customWidth="1" min="12" max="12" width="15.86"/>
    <col customWidth="1" min="13" max="13" width="13.57"/>
    <col customWidth="1" min="14" max="14" width="12.86"/>
    <col customWidth="1" min="15" max="15" width="11.57"/>
    <col customWidth="1" min="16" max="16" width="11.14"/>
    <col customWidth="1" min="17" max="17" width="15.0"/>
    <col customWidth="1" min="18" max="18" width="10.14"/>
    <col customWidth="1" min="19" max="19" width="14.71"/>
    <col customWidth="1" min="20" max="20" width="12.71"/>
    <col customWidth="1" min="21" max="21" width="13.0"/>
    <col customWidth="1" hidden="1" min="22" max="22" width="12.86"/>
    <col customWidth="1" hidden="1" min="23" max="23" width="9.14"/>
    <col customWidth="1" hidden="1" min="24" max="32" width="9.0"/>
  </cols>
  <sheetData>
    <row r="1" ht="14.25" customHeight="1">
      <c r="B1" s="14" t="s">
        <v>44</v>
      </c>
      <c r="L1" s="15"/>
      <c r="N1" s="14" t="s">
        <v>45</v>
      </c>
      <c r="Q1" s="15"/>
    </row>
    <row r="2" ht="14.25" customHeight="1">
      <c r="B2" s="16" t="s">
        <v>46</v>
      </c>
      <c r="J2" s="14"/>
      <c r="K2" s="14"/>
      <c r="L2" s="15"/>
      <c r="N2" s="17" t="s">
        <v>47</v>
      </c>
      <c r="O2" s="18">
        <f>'破防提升收益'!AA4</f>
        <v>0.01451978136</v>
      </c>
      <c r="Q2" s="15"/>
    </row>
    <row r="3" ht="14.25" customHeight="1">
      <c r="B3" s="14" t="s">
        <v>48</v>
      </c>
      <c r="J3" s="14"/>
      <c r="K3" s="14"/>
      <c r="L3" s="15"/>
      <c r="N3" s="19" t="s">
        <v>49</v>
      </c>
      <c r="O3" s="20">
        <f>'攻击提升收益'!T4</f>
        <v>0.009190441666</v>
      </c>
      <c r="Q3" s="15"/>
    </row>
    <row r="4" ht="14.25" customHeight="1">
      <c r="B4" s="14" t="s">
        <v>50</v>
      </c>
      <c r="J4" s="14"/>
      <c r="K4" s="14"/>
      <c r="L4" s="15"/>
      <c r="N4" s="19" t="s">
        <v>51</v>
      </c>
      <c r="O4" s="20">
        <f>'元素攻击提升收益'!S4</f>
        <v>0.005721878502</v>
      </c>
      <c r="Q4" s="15"/>
    </row>
    <row r="5" ht="14.25" customHeight="1">
      <c r="B5" s="14" t="s">
        <v>52</v>
      </c>
      <c r="J5" s="14"/>
      <c r="K5" s="14"/>
      <c r="L5" s="15"/>
      <c r="N5" s="19" t="s">
        <v>53</v>
      </c>
      <c r="O5" s="20">
        <f>'攻击提升收益'!T5</f>
        <v>0.01428105805</v>
      </c>
      <c r="P5" s="14" t="s">
        <v>54</v>
      </c>
      <c r="Q5" s="15"/>
    </row>
    <row r="6" ht="15.0" customHeight="1">
      <c r="B6" s="14" t="s">
        <v>55</v>
      </c>
      <c r="J6" s="14"/>
      <c r="K6" s="14"/>
      <c r="L6" s="15"/>
      <c r="N6" s="19" t="s">
        <v>56</v>
      </c>
      <c r="O6" s="20">
        <f>'会心提升收益'!V4</f>
        <v>0.009627034528</v>
      </c>
      <c r="Q6" s="15"/>
    </row>
    <row r="7" ht="16.5" customHeight="1">
      <c r="B7" s="14" t="s">
        <v>57</v>
      </c>
      <c r="J7" s="14"/>
      <c r="K7" s="14"/>
      <c r="L7" s="15"/>
      <c r="N7" s="21" t="s">
        <v>58</v>
      </c>
      <c r="O7" s="22">
        <f>'命中提升收益'!U4</f>
        <v>0</v>
      </c>
      <c r="Q7" s="15"/>
    </row>
    <row r="8" ht="14.25" customHeight="1">
      <c r="B8" s="14" t="s">
        <v>59</v>
      </c>
      <c r="J8" s="14"/>
      <c r="K8" s="14"/>
      <c r="L8" s="15"/>
      <c r="Q8" s="15"/>
      <c r="R8" s="23" t="s">
        <v>60</v>
      </c>
      <c r="S8" s="24" t="s">
        <v>61</v>
      </c>
    </row>
    <row r="9" ht="14.25" customHeight="1">
      <c r="B9" s="25" t="s">
        <v>62</v>
      </c>
      <c r="C9" s="26"/>
      <c r="D9" s="26"/>
      <c r="E9" s="26"/>
      <c r="F9" s="26"/>
      <c r="G9" s="27"/>
      <c r="H9" s="28"/>
      <c r="I9" s="27"/>
      <c r="J9" s="28"/>
      <c r="K9" s="27"/>
      <c r="L9" s="29"/>
      <c r="M9" s="28"/>
      <c r="N9" s="25"/>
      <c r="O9" s="14"/>
      <c r="P9" s="14"/>
      <c r="Q9" s="15"/>
      <c r="R9" s="30" t="s">
        <v>63</v>
      </c>
      <c r="S9" s="24" t="s">
        <v>64</v>
      </c>
    </row>
    <row r="10" ht="14.25" customHeight="1">
      <c r="B10" s="31" t="s">
        <v>65</v>
      </c>
      <c r="C10" s="31" t="s">
        <v>66</v>
      </c>
      <c r="D10" s="31" t="s">
        <v>67</v>
      </c>
      <c r="E10" s="31" t="s">
        <v>68</v>
      </c>
      <c r="F10" s="31" t="s">
        <v>69</v>
      </c>
      <c r="G10" s="32" t="s">
        <v>70</v>
      </c>
      <c r="H10" s="32" t="s">
        <v>71</v>
      </c>
      <c r="I10" s="32" t="s">
        <v>72</v>
      </c>
      <c r="J10" s="32" t="s">
        <v>73</v>
      </c>
      <c r="K10" s="32" t="s">
        <v>74</v>
      </c>
      <c r="L10" s="33" t="s">
        <v>75</v>
      </c>
      <c r="M10" s="32" t="s">
        <v>76</v>
      </c>
      <c r="N10" s="31" t="s">
        <v>77</v>
      </c>
      <c r="O10" s="34" t="s">
        <v>78</v>
      </c>
      <c r="P10" s="14"/>
      <c r="Q10" s="15"/>
      <c r="R10" s="30" t="s">
        <v>79</v>
      </c>
      <c r="S10" s="35">
        <v>0.0433</v>
      </c>
    </row>
    <row r="11" ht="14.25" customHeight="1">
      <c r="B11" s="36">
        <v>18500.0</v>
      </c>
      <c r="C11" s="36">
        <v>4000.0</v>
      </c>
      <c r="D11" s="36">
        <v>4500.0</v>
      </c>
      <c r="E11" s="36">
        <v>7000.0</v>
      </c>
      <c r="F11" s="36">
        <v>3500.0</v>
      </c>
      <c r="G11" s="37">
        <v>2600.0</v>
      </c>
      <c r="H11" s="38">
        <v>0.32</v>
      </c>
      <c r="I11" s="36">
        <v>490000.0</v>
      </c>
      <c r="J11" s="38">
        <v>0.25</v>
      </c>
      <c r="K11" s="36">
        <v>0.0</v>
      </c>
      <c r="L11" s="39">
        <v>0.0</v>
      </c>
      <c r="M11" s="40">
        <v>5311.0</v>
      </c>
      <c r="N11" s="41">
        <f>I11/D27</f>
        <v>24.94354776</v>
      </c>
      <c r="O11" s="42">
        <v>0.2</v>
      </c>
      <c r="P11" s="14"/>
      <c r="Q11" s="15"/>
    </row>
    <row r="12" ht="14.25" customHeight="1">
      <c r="A12" s="43" t="s">
        <v>80</v>
      </c>
      <c r="B12" s="44"/>
      <c r="C12" s="44"/>
      <c r="D12" s="44"/>
      <c r="E12" s="44"/>
      <c r="F12" s="44"/>
      <c r="G12" s="44"/>
      <c r="H12" s="45"/>
      <c r="I12" s="44">
        <v>0.0</v>
      </c>
      <c r="J12" s="44">
        <v>0.0</v>
      </c>
      <c r="K12" s="46"/>
      <c r="L12" s="46">
        <v>0.0</v>
      </c>
      <c r="M12" s="46"/>
      <c r="N12" s="45"/>
      <c r="O12" s="45"/>
      <c r="P12" s="14"/>
      <c r="Q12" s="15"/>
    </row>
    <row r="13" ht="14.25" customHeight="1">
      <c r="A13" s="43" t="s">
        <v>81</v>
      </c>
      <c r="B13" s="47">
        <f t="shared" ref="B13:I13" si="1">B11+B12</f>
        <v>18500</v>
      </c>
      <c r="C13" s="47">
        <f t="shared" si="1"/>
        <v>4000</v>
      </c>
      <c r="D13" s="47">
        <f t="shared" si="1"/>
        <v>4500</v>
      </c>
      <c r="E13" s="47">
        <f t="shared" si="1"/>
        <v>7000</v>
      </c>
      <c r="F13" s="47">
        <f t="shared" si="1"/>
        <v>3500</v>
      </c>
      <c r="G13" s="47">
        <f t="shared" si="1"/>
        <v>2600</v>
      </c>
      <c r="H13" s="48">
        <f t="shared" si="1"/>
        <v>0.32</v>
      </c>
      <c r="I13" s="47">
        <f t="shared" si="1"/>
        <v>490000</v>
      </c>
      <c r="J13" s="48">
        <f>J12+J11</f>
        <v>0.25</v>
      </c>
      <c r="K13" s="47">
        <f t="shared" ref="K13:M13" si="2">K11+K12</f>
        <v>0</v>
      </c>
      <c r="L13" s="49">
        <f t="shared" si="2"/>
        <v>0</v>
      </c>
      <c r="M13" s="50">
        <f t="shared" si="2"/>
        <v>5311</v>
      </c>
      <c r="N13" s="51">
        <f>I13/D30</f>
        <v>24.94354776</v>
      </c>
      <c r="O13" s="51">
        <f>O11+O12</f>
        <v>0.2</v>
      </c>
      <c r="P13" s="14"/>
      <c r="Q13" s="15"/>
    </row>
    <row r="14" ht="14.25" customHeight="1">
      <c r="B14" s="52"/>
      <c r="C14" s="52"/>
      <c r="D14" s="52"/>
      <c r="E14" s="52"/>
      <c r="F14" s="52"/>
      <c r="G14" s="52"/>
      <c r="H14" s="53" t="s">
        <v>82</v>
      </c>
      <c r="I14" s="54"/>
      <c r="K14" s="14"/>
      <c r="L14" s="55"/>
      <c r="M14" s="14"/>
      <c r="N14" s="56"/>
      <c r="O14" s="14" t="s">
        <v>83</v>
      </c>
      <c r="P14" s="14"/>
      <c r="Q14" s="15"/>
    </row>
    <row r="15" ht="14.25" customHeight="1">
      <c r="A15" s="57"/>
      <c r="B15" s="31" t="s">
        <v>65</v>
      </c>
      <c r="C15" s="31" t="s">
        <v>66</v>
      </c>
      <c r="D15" s="31" t="s">
        <v>67</v>
      </c>
      <c r="E15" s="31" t="s">
        <v>68</v>
      </c>
      <c r="F15" s="31" t="s">
        <v>69</v>
      </c>
      <c r="G15" s="31" t="s">
        <v>70</v>
      </c>
      <c r="H15" s="58" t="s">
        <v>84</v>
      </c>
      <c r="L15" s="15"/>
      <c r="P15" s="54"/>
      <c r="Q15" s="15"/>
      <c r="R15" s="54"/>
      <c r="AE15" s="24">
        <v>193.0</v>
      </c>
    </row>
    <row r="16" ht="14.25" customHeight="1">
      <c r="A16" s="57" t="s">
        <v>85</v>
      </c>
      <c r="B16" s="36">
        <v>1146.0</v>
      </c>
      <c r="C16" s="36">
        <v>0.0</v>
      </c>
      <c r="D16" s="36">
        <v>0.0</v>
      </c>
      <c r="E16" s="36">
        <v>0.0</v>
      </c>
      <c r="F16" s="36">
        <v>343.0</v>
      </c>
      <c r="G16" s="36">
        <v>250.0</v>
      </c>
      <c r="H16" s="24" t="s">
        <v>86</v>
      </c>
      <c r="J16" s="59">
        <f>MAX(I25-J11,50%)</f>
        <v>0.687</v>
      </c>
      <c r="L16" s="15"/>
      <c r="M16" s="54"/>
      <c r="N16" s="60" t="s">
        <v>87</v>
      </c>
      <c r="Q16" s="15"/>
      <c r="AE16" s="24">
        <v>250.0</v>
      </c>
      <c r="AF16" s="24">
        <f>AE16/AE15</f>
        <v>1.295336788</v>
      </c>
    </row>
    <row r="17" ht="14.25" customHeight="1">
      <c r="A17" s="57" t="s">
        <v>88</v>
      </c>
      <c r="B17" s="36">
        <v>13000.0</v>
      </c>
      <c r="C17" s="36">
        <v>3500.0</v>
      </c>
      <c r="D17" s="36">
        <v>3000.0</v>
      </c>
      <c r="E17" s="36">
        <v>4700.0</v>
      </c>
      <c r="F17" s="36">
        <v>2200.0</v>
      </c>
      <c r="G17" s="36">
        <v>3000.0</v>
      </c>
      <c r="J17" s="59">
        <f>MAX(I25-J13,50%)</f>
        <v>0.687</v>
      </c>
      <c r="L17" s="15"/>
      <c r="N17" s="24" t="s">
        <v>89</v>
      </c>
      <c r="Q17" s="15"/>
      <c r="AF17" s="24">
        <f>1.3*0.7+1*0.3</f>
        <v>1.21</v>
      </c>
    </row>
    <row r="18" ht="14.25" customHeight="1">
      <c r="A18" s="57" t="s">
        <v>90</v>
      </c>
      <c r="B18" s="36">
        <v>11000.0</v>
      </c>
      <c r="C18" s="36">
        <v>1200.0</v>
      </c>
      <c r="D18" s="36">
        <v>2800.0</v>
      </c>
      <c r="E18" s="36">
        <v>3500.0</v>
      </c>
      <c r="F18" s="36">
        <v>2000.0</v>
      </c>
      <c r="G18" s="36">
        <v>2800.0</v>
      </c>
      <c r="L18" s="15"/>
      <c r="N18" s="61" t="s">
        <v>91</v>
      </c>
      <c r="O18" s="61" t="s">
        <v>92</v>
      </c>
      <c r="Q18" s="15"/>
      <c r="R18" s="24" t="s">
        <v>93</v>
      </c>
    </row>
    <row r="19" ht="14.25" customHeight="1">
      <c r="A19" s="57" t="s">
        <v>94</v>
      </c>
      <c r="B19" s="36">
        <v>8000.0</v>
      </c>
      <c r="C19" s="36">
        <v>300.0</v>
      </c>
      <c r="D19" s="36">
        <v>2400.0</v>
      </c>
      <c r="E19" s="36">
        <v>2000.0</v>
      </c>
      <c r="F19" s="36">
        <v>1900.0</v>
      </c>
      <c r="G19" s="36">
        <v>2200.0</v>
      </c>
      <c r="L19" s="15"/>
      <c r="N19" s="62">
        <v>3050.0</v>
      </c>
      <c r="O19" s="62">
        <v>1.0</v>
      </c>
      <c r="Q19" s="63"/>
      <c r="R19" s="64">
        <v>41.0</v>
      </c>
    </row>
    <row r="20" ht="14.25" customHeight="1">
      <c r="A20" s="57" t="s">
        <v>95</v>
      </c>
      <c r="B20" s="36">
        <v>11000.0</v>
      </c>
      <c r="C20" s="36">
        <v>1200.0</v>
      </c>
      <c r="D20" s="36">
        <v>2500.0</v>
      </c>
      <c r="E20" s="36">
        <v>3500.0</v>
      </c>
      <c r="F20" s="36">
        <v>2100.0</v>
      </c>
      <c r="G20" s="36">
        <v>2700.0</v>
      </c>
      <c r="L20" s="15"/>
      <c r="M20" s="24" t="s">
        <v>96</v>
      </c>
      <c r="N20" s="65"/>
      <c r="O20" s="65">
        <v>0.3123</v>
      </c>
      <c r="Q20" s="15"/>
    </row>
    <row r="21" ht="14.25" customHeight="1">
      <c r="A21" s="57" t="s">
        <v>97</v>
      </c>
      <c r="B21" s="36">
        <v>12020.0</v>
      </c>
      <c r="C21" s="36">
        <v>0.0</v>
      </c>
      <c r="D21" s="36">
        <v>2500.0</v>
      </c>
      <c r="E21" s="36">
        <v>13900.0</v>
      </c>
      <c r="F21" s="36">
        <v>2556.0</v>
      </c>
      <c r="G21" s="36">
        <v>2315.0</v>
      </c>
      <c r="L21" s="55"/>
      <c r="M21" s="14"/>
      <c r="N21" s="65" t="s">
        <v>98</v>
      </c>
      <c r="O21" s="65">
        <v>6.05</v>
      </c>
      <c r="Q21" s="15"/>
    </row>
    <row r="22" ht="14.25" customHeight="1">
      <c r="B22" s="14" t="s">
        <v>99</v>
      </c>
      <c r="E22" s="66"/>
      <c r="L22" s="15"/>
      <c r="Q22" s="15"/>
    </row>
    <row r="23" ht="14.25" customHeight="1">
      <c r="A23" s="67" t="s">
        <v>100</v>
      </c>
      <c r="B23" s="68"/>
      <c r="C23" s="69"/>
      <c r="D23" s="69"/>
      <c r="E23" s="69"/>
      <c r="F23" s="69"/>
      <c r="G23" s="69"/>
      <c r="H23" s="69"/>
      <c r="I23" s="69"/>
      <c r="J23" s="69"/>
      <c r="K23" s="69"/>
      <c r="L23" s="70"/>
      <c r="M23" s="71"/>
      <c r="N23" s="71"/>
      <c r="O23" s="72" t="s">
        <v>101</v>
      </c>
      <c r="P23" s="73"/>
      <c r="Q23" s="74"/>
      <c r="R23" s="73"/>
      <c r="S23" s="75"/>
      <c r="W23" s="6" t="s">
        <v>102</v>
      </c>
      <c r="X23" s="12" t="s">
        <v>103</v>
      </c>
      <c r="Y23" s="12" t="s">
        <v>104</v>
      </c>
      <c r="Z23" s="12" t="s">
        <v>105</v>
      </c>
      <c r="AA23" s="12" t="s">
        <v>106</v>
      </c>
    </row>
    <row r="24" ht="14.25" customHeight="1">
      <c r="A24" s="76" t="s">
        <v>107</v>
      </c>
      <c r="B24" s="76" t="s">
        <v>108</v>
      </c>
      <c r="C24" s="76" t="s">
        <v>109</v>
      </c>
      <c r="D24" s="76" t="s">
        <v>110</v>
      </c>
      <c r="E24" s="76" t="s">
        <v>111</v>
      </c>
      <c r="F24" s="76" t="s">
        <v>112</v>
      </c>
      <c r="G24" s="76" t="s">
        <v>113</v>
      </c>
      <c r="H24" s="76" t="s">
        <v>114</v>
      </c>
      <c r="I24" s="76" t="s">
        <v>115</v>
      </c>
      <c r="J24" s="76" t="s">
        <v>116</v>
      </c>
      <c r="K24" s="76" t="s">
        <v>117</v>
      </c>
      <c r="L24" s="77" t="s">
        <v>118</v>
      </c>
      <c r="M24" s="76" t="s">
        <v>119</v>
      </c>
      <c r="N24" s="76" t="s">
        <v>120</v>
      </c>
      <c r="O24" s="78" t="s">
        <v>121</v>
      </c>
      <c r="P24" s="78" t="s">
        <v>122</v>
      </c>
      <c r="Q24" s="79" t="s">
        <v>123</v>
      </c>
      <c r="R24" s="78" t="s">
        <v>124</v>
      </c>
      <c r="S24" s="78" t="s">
        <v>125</v>
      </c>
      <c r="W24" s="10"/>
      <c r="X24" s="12"/>
      <c r="Y24" s="12"/>
      <c r="Z24" s="12"/>
      <c r="AA24" s="12"/>
    </row>
    <row r="25" ht="14.25" customHeight="1">
      <c r="A25" s="80">
        <v>2100.0</v>
      </c>
      <c r="B25" s="81">
        <v>17500.0</v>
      </c>
      <c r="C25" s="81">
        <v>13000.0</v>
      </c>
      <c r="D25" s="81">
        <v>500.0</v>
      </c>
      <c r="E25" s="81">
        <v>6200.0</v>
      </c>
      <c r="F25" s="81">
        <v>11500.0</v>
      </c>
      <c r="G25" s="81">
        <v>4400.0</v>
      </c>
      <c r="H25" s="82">
        <v>4600.0</v>
      </c>
      <c r="I25" s="83">
        <v>0.937</v>
      </c>
      <c r="J25" s="84">
        <v>0.0</v>
      </c>
      <c r="K25" s="84">
        <v>0.193</v>
      </c>
      <c r="L25" s="83">
        <v>0.0</v>
      </c>
      <c r="M25" s="83">
        <f>((E25*$O$19*(1-S25))*(1+M27-O11)/((N19+($O$19*(B25-$E$11+F25+N25-K11-R25)))*(1-P25)*(1+K27-O11)+E25*$O$19*(1-S25)*(1+M27-O11)))</f>
        <v>0.2284960327</v>
      </c>
      <c r="N25" s="81">
        <v>0.0</v>
      </c>
      <c r="O25" s="12">
        <f>MAX($B$11-C25,0)</f>
        <v>5500</v>
      </c>
      <c r="P25" s="85">
        <f>MAX(0.1+(O25/(O25+19032)),0.1)</f>
        <v>0.3241969672</v>
      </c>
      <c r="Q25" s="86">
        <f>1+(L25-L11)</f>
        <v>1</v>
      </c>
      <c r="R25" s="12">
        <f>IF(C11/3&gt;D25,C11-2*D25,0.5*(C11-D25))</f>
        <v>3000</v>
      </c>
      <c r="S25" s="85">
        <f>MAX((($D$11-A25)/($D$11-A25+4762)),0)</f>
        <v>0.3351019268</v>
      </c>
      <c r="T25" s="87">
        <f>D11-A25</f>
        <v>2400</v>
      </c>
      <c r="W25" s="12" t="s">
        <v>126</v>
      </c>
      <c r="X25" s="12">
        <v>19032.0</v>
      </c>
      <c r="Y25" s="12">
        <v>4763.0</v>
      </c>
      <c r="Z25" s="12">
        <v>10686.0</v>
      </c>
      <c r="AA25" s="12">
        <v>2666.0</v>
      </c>
    </row>
    <row r="26" ht="14.25" customHeight="1">
      <c r="A26" s="88" t="s">
        <v>127</v>
      </c>
      <c r="B26" s="89" t="s">
        <v>128</v>
      </c>
      <c r="C26" s="90"/>
      <c r="D26" s="89" t="s">
        <v>129</v>
      </c>
      <c r="E26" s="90"/>
      <c r="F26" s="14" t="s">
        <v>130</v>
      </c>
      <c r="K26" s="76" t="s">
        <v>131</v>
      </c>
      <c r="L26" s="77" t="s">
        <v>132</v>
      </c>
      <c r="M26" s="76" t="s">
        <v>133</v>
      </c>
      <c r="N26" s="76" t="s">
        <v>76</v>
      </c>
      <c r="O26" s="78" t="s">
        <v>134</v>
      </c>
      <c r="P26" s="78" t="s">
        <v>135</v>
      </c>
      <c r="Q26" s="86" t="s">
        <v>132</v>
      </c>
      <c r="R26" s="12">
        <f>MAX(R25,0)</f>
        <v>3000</v>
      </c>
      <c r="S26" s="78" t="s">
        <v>136</v>
      </c>
      <c r="U26" s="91">
        <f>1-P25</f>
        <v>0.6758030328</v>
      </c>
      <c r="W26" s="12" t="s">
        <v>137</v>
      </c>
      <c r="X26" s="12"/>
      <c r="Y26" s="12"/>
      <c r="Z26" s="12"/>
      <c r="AA26" s="12"/>
    </row>
    <row r="27" ht="14.25" customHeight="1">
      <c r="A27" s="92">
        <f>(1+I25+1.5)*E42</f>
        <v>55493.411</v>
      </c>
      <c r="B27" s="93">
        <f>(($N$19+$O$19*(B25-$E$11+F25+N25-R26-K11+S27))*(1-P25)*(1+K27-O11)+(1+M27-O11)*E25*$O$19*(1-S25))*(1+K25-H11)*Q25</f>
        <v>14678.0784</v>
      </c>
      <c r="C27" s="94"/>
      <c r="D27" s="93">
        <f>B27*O27*(1+J16*P27)+0.5*B27*(1-O27)</f>
        <v>19644.35872</v>
      </c>
      <c r="E27" s="94"/>
      <c r="F27" s="14" t="s">
        <v>138</v>
      </c>
      <c r="K27" s="84">
        <v>0.05</v>
      </c>
      <c r="L27" s="83"/>
      <c r="M27" s="84">
        <v>0.11</v>
      </c>
      <c r="N27" s="81">
        <v>6000.0</v>
      </c>
      <c r="O27" s="85">
        <f>MIN((143*(G25-F11)/(G25-F11+10688)+95)/100,1)</f>
        <v>1</v>
      </c>
      <c r="P27" s="85">
        <f>MAX((((115*(H25-$G$11)-200)/((H25-$G$11)+2666)/100)),0.05)+J25</f>
        <v>0.4924989284</v>
      </c>
      <c r="Q27" s="86"/>
      <c r="R27" s="12"/>
      <c r="S27" s="95">
        <f>IF(N27&gt;M11,N27-M11,0)</f>
        <v>689</v>
      </c>
      <c r="W27" s="12"/>
      <c r="X27" s="12"/>
      <c r="Y27" s="12"/>
      <c r="Z27" s="12"/>
      <c r="AA27" s="12"/>
    </row>
    <row r="28" ht="14.25" customHeight="1">
      <c r="G28" s="96"/>
      <c r="H28" s="96"/>
      <c r="I28" s="97" t="s">
        <v>139</v>
      </c>
      <c r="J28" s="78" t="s">
        <v>121</v>
      </c>
      <c r="K28" s="78" t="s">
        <v>122</v>
      </c>
      <c r="L28" s="79" t="s">
        <v>123</v>
      </c>
      <c r="M28" s="78" t="s">
        <v>124</v>
      </c>
      <c r="N28" s="78" t="s">
        <v>125</v>
      </c>
      <c r="O28" s="98"/>
      <c r="P28" s="54"/>
      <c r="Q28" s="15"/>
      <c r="W28" s="12"/>
      <c r="X28" s="12"/>
      <c r="Y28" s="12"/>
      <c r="Z28" s="12"/>
      <c r="AA28" s="12"/>
    </row>
    <row r="29" ht="14.25" customHeight="1">
      <c r="A29" s="99" t="s">
        <v>139</v>
      </c>
      <c r="B29" s="100" t="s">
        <v>128</v>
      </c>
      <c r="C29" s="90"/>
      <c r="D29" s="100" t="s">
        <v>129</v>
      </c>
      <c r="E29" s="90"/>
      <c r="F29" s="101" t="s">
        <v>140</v>
      </c>
      <c r="G29" s="96"/>
      <c r="H29" s="96"/>
      <c r="I29" s="96"/>
      <c r="J29" s="12">
        <f>MAX(B13-C25,0)</f>
        <v>5500</v>
      </c>
      <c r="K29" s="85">
        <f>MAX(0.1+(J29/(J29+19032)),0.1)</f>
        <v>0.3241969672</v>
      </c>
      <c r="L29" s="86">
        <f>1+(L25-L13)</f>
        <v>1</v>
      </c>
      <c r="M29" s="12">
        <f>IF(C13/3&gt;D25,C13-2*D25,0.5*(C13-D25))</f>
        <v>3000</v>
      </c>
      <c r="N29" s="85">
        <f>MAX(((D13-A25)/(D13-A25+4762)),0)</f>
        <v>0.3351019268</v>
      </c>
      <c r="O29" s="102"/>
      <c r="P29" s="54"/>
      <c r="Q29" s="15"/>
      <c r="W29" s="12"/>
      <c r="X29" s="12"/>
      <c r="Y29" s="12"/>
      <c r="Z29" s="12"/>
      <c r="AA29" s="12"/>
    </row>
    <row r="30" ht="14.25" customHeight="1">
      <c r="B30" s="93">
        <f>(($N$19+$O$19*(B25-E13+F25+N25-M30-K13+N31))*(1-K29)*(1+K27-O13)+(1+M27-O13)*E25*$O$19*(1-N29))*(1+K25-H13)*L29</f>
        <v>14678.0784</v>
      </c>
      <c r="C30" s="94"/>
      <c r="D30" s="93">
        <f>B30*J31*(1+J17*K31)+0.5*B30*(1-J31)</f>
        <v>19644.35872</v>
      </c>
      <c r="E30" s="94"/>
      <c r="F30" s="103">
        <f>N13/N11-1</f>
        <v>0</v>
      </c>
      <c r="G30" s="96"/>
      <c r="H30" s="96"/>
      <c r="I30" s="96"/>
      <c r="J30" s="78" t="s">
        <v>134</v>
      </c>
      <c r="K30" s="78" t="s">
        <v>135</v>
      </c>
      <c r="L30" s="86" t="s">
        <v>132</v>
      </c>
      <c r="M30" s="12">
        <f>MAX(M29,0)</f>
        <v>3000</v>
      </c>
      <c r="N30" s="78" t="s">
        <v>136</v>
      </c>
      <c r="O30" s="98"/>
      <c r="P30" s="54"/>
      <c r="Q30" s="15"/>
      <c r="W30" s="12"/>
      <c r="X30" s="12"/>
      <c r="Y30" s="12"/>
      <c r="Z30" s="12"/>
      <c r="AA30" s="12"/>
    </row>
    <row r="31" ht="14.25" customHeight="1">
      <c r="B31" s="60" t="s">
        <v>141</v>
      </c>
      <c r="G31" s="96"/>
      <c r="H31" s="96" t="s">
        <v>142</v>
      </c>
      <c r="I31" s="96" t="s">
        <v>143</v>
      </c>
      <c r="J31" s="85">
        <f>MIN((143*(G25-F13)/(G25-F13+10688)+95)/100,1)</f>
        <v>1</v>
      </c>
      <c r="K31" s="85">
        <f>MAX((((115*(H25-G13)-200)/((H25-G13)+2666)/100)),0.05)+J25</f>
        <v>0.4924989284</v>
      </c>
      <c r="L31" s="86"/>
      <c r="M31" s="12"/>
      <c r="N31" s="95">
        <f>IF(N27&gt;M13,N27-M13,0)</f>
        <v>689</v>
      </c>
      <c r="O31" s="98"/>
      <c r="P31" s="54"/>
      <c r="Q31" s="15"/>
      <c r="W31" s="12"/>
      <c r="X31" s="12"/>
      <c r="Y31" s="12"/>
      <c r="Z31" s="12"/>
      <c r="AA31" s="12"/>
    </row>
    <row r="32" ht="14.25" customHeight="1">
      <c r="B32" s="76" t="s">
        <v>144</v>
      </c>
      <c r="C32" s="76" t="s">
        <v>145</v>
      </c>
      <c r="D32" s="76" t="s">
        <v>146</v>
      </c>
      <c r="E32" s="76" t="s">
        <v>147</v>
      </c>
      <c r="F32" s="76" t="s">
        <v>148</v>
      </c>
      <c r="G32" s="104"/>
      <c r="H32" s="105">
        <f>B27*(1+J16)</f>
        <v>24761.91826</v>
      </c>
      <c r="I32" s="66">
        <f>0.15*(O19*(B25+E25)+N19)</f>
        <v>4012.5</v>
      </c>
      <c r="L32" s="15"/>
      <c r="N32" s="98"/>
      <c r="O32" s="102" t="s">
        <v>149</v>
      </c>
      <c r="Q32" s="15"/>
      <c r="W32" s="12"/>
      <c r="X32" s="12"/>
      <c r="Y32" s="12"/>
      <c r="Z32" s="12"/>
      <c r="AA32" s="12"/>
    </row>
    <row r="33" ht="14.25" customHeight="1">
      <c r="B33" s="106">
        <f>'攻击提升收益'!$F$2</f>
        <v>0.003416521066</v>
      </c>
      <c r="C33" s="106">
        <f>'破防提升收益'!Z2</f>
        <v>0.003650293469</v>
      </c>
      <c r="D33" s="106">
        <f>'元素攻击提升收益'!$E$2</f>
        <v>0.001799332862</v>
      </c>
      <c r="E33" s="106">
        <f>'命中提升收益'!$F$2</f>
        <v>0</v>
      </c>
      <c r="F33" s="106">
        <f>'会心提升收益'!$F$2</f>
        <v>0.00179858698</v>
      </c>
      <c r="G33" s="14" t="s">
        <v>150</v>
      </c>
      <c r="L33" s="15"/>
      <c r="N33" s="98"/>
      <c r="O33" s="102" t="s">
        <v>151</v>
      </c>
      <c r="Q33" s="15"/>
      <c r="W33" s="12"/>
      <c r="X33" s="12"/>
      <c r="Y33" s="12"/>
      <c r="Z33" s="12"/>
      <c r="AA33" s="12"/>
    </row>
    <row r="34" ht="14.25" customHeight="1">
      <c r="B34" s="76" t="s">
        <v>152</v>
      </c>
      <c r="C34" s="76" t="s">
        <v>153</v>
      </c>
      <c r="D34" s="76" t="s">
        <v>154</v>
      </c>
      <c r="E34" s="76" t="s">
        <v>155</v>
      </c>
      <c r="F34" s="76" t="s">
        <v>156</v>
      </c>
      <c r="K34" s="54"/>
      <c r="L34" s="15"/>
      <c r="N34" s="102" t="s">
        <v>157</v>
      </c>
      <c r="O34" s="102"/>
      <c r="Q34" s="15"/>
      <c r="W34" s="12"/>
      <c r="X34" s="12"/>
      <c r="Y34" s="12"/>
      <c r="Z34" s="12"/>
      <c r="AA34" s="12"/>
    </row>
    <row r="35" ht="14.25" customHeight="1">
      <c r="B35" s="106">
        <f>'攻击提升收益'!T4</f>
        <v>0.009190441666</v>
      </c>
      <c r="C35" s="106">
        <f>'破防提升收益'!E4</f>
        <v>0.01104126404</v>
      </c>
      <c r="D35" s="106">
        <f>'元素攻击提升收益'!R2</f>
        <v>0.003598665724</v>
      </c>
      <c r="E35" s="106">
        <f>'命中提升收益'!$V$2</f>
        <v>0</v>
      </c>
      <c r="F35" s="106">
        <f>'会心提升收益'!U5</f>
        <v>0.007081585629</v>
      </c>
      <c r="G35" s="107" t="s">
        <v>158</v>
      </c>
      <c r="J35" s="54"/>
      <c r="L35" s="15"/>
      <c r="N35" s="98"/>
      <c r="O35" s="98"/>
      <c r="Q35" s="15"/>
      <c r="W35" s="12"/>
      <c r="X35" s="12"/>
      <c r="Y35" s="12"/>
      <c r="Z35" s="12"/>
      <c r="AA35" s="12"/>
    </row>
    <row r="36" ht="14.25" customHeight="1">
      <c r="L36" s="15"/>
      <c r="N36" s="98"/>
      <c r="O36" s="98"/>
      <c r="Q36" s="15"/>
    </row>
    <row r="37" ht="14.25" customHeight="1">
      <c r="A37" s="68" t="s">
        <v>159</v>
      </c>
      <c r="B37" s="108"/>
      <c r="C37" s="108"/>
      <c r="D37" s="108"/>
      <c r="E37" s="108"/>
      <c r="F37" s="108"/>
      <c r="G37" s="108"/>
      <c r="H37" s="108"/>
      <c r="I37" s="108"/>
      <c r="J37" s="108"/>
      <c r="K37" s="109"/>
      <c r="L37" s="110"/>
      <c r="M37" s="109"/>
      <c r="N37" s="67"/>
      <c r="O37" s="72" t="s">
        <v>101</v>
      </c>
      <c r="P37" s="73"/>
      <c r="Q37" s="74"/>
      <c r="R37" s="73"/>
      <c r="S37" s="75"/>
    </row>
    <row r="38" ht="14.25" customHeight="1">
      <c r="A38" s="111"/>
      <c r="B38" s="76" t="s">
        <v>108</v>
      </c>
      <c r="C38" s="76" t="s">
        <v>109</v>
      </c>
      <c r="D38" s="76" t="s">
        <v>110</v>
      </c>
      <c r="E38" s="76" t="s">
        <v>111</v>
      </c>
      <c r="F38" s="76" t="s">
        <v>112</v>
      </c>
      <c r="G38" s="76" t="s">
        <v>113</v>
      </c>
      <c r="H38" s="76" t="s">
        <v>114</v>
      </c>
      <c r="I38" s="76" t="s">
        <v>160</v>
      </c>
      <c r="J38" s="76" t="s">
        <v>116</v>
      </c>
      <c r="K38" s="76" t="s">
        <v>117</v>
      </c>
      <c r="L38" s="77" t="s">
        <v>118</v>
      </c>
      <c r="M38" s="76" t="s">
        <v>107</v>
      </c>
      <c r="N38" s="76" t="s">
        <v>120</v>
      </c>
      <c r="O38" s="78" t="s">
        <v>121</v>
      </c>
      <c r="P38" s="78" t="s">
        <v>122</v>
      </c>
      <c r="Q38" s="79" t="s">
        <v>123</v>
      </c>
      <c r="R38" s="78" t="s">
        <v>124</v>
      </c>
      <c r="S38" s="78" t="s">
        <v>125</v>
      </c>
    </row>
    <row r="39" ht="14.25" customHeight="1">
      <c r="A39" s="111" t="s">
        <v>80</v>
      </c>
      <c r="B39" s="36">
        <v>0.0</v>
      </c>
      <c r="C39" s="36"/>
      <c r="D39" s="36">
        <v>0.0</v>
      </c>
      <c r="E39" s="36"/>
      <c r="F39" s="36"/>
      <c r="G39" s="36">
        <v>0.0</v>
      </c>
      <c r="H39" s="37">
        <v>4600.0</v>
      </c>
      <c r="I39" s="36">
        <v>0.0</v>
      </c>
      <c r="J39" s="39"/>
      <c r="K39" s="38"/>
      <c r="L39" s="38">
        <v>0.1</v>
      </c>
      <c r="M39" s="112"/>
      <c r="N39" s="81"/>
      <c r="O39" s="12">
        <f>MAX($B$11-C40,0)</f>
        <v>5500</v>
      </c>
      <c r="P39" s="85">
        <f>MAX(0.1+(O39/(O39+19032)),0.1)</f>
        <v>0.3241969672</v>
      </c>
      <c r="Q39" s="86">
        <f>1+(L40-L11)</f>
        <v>1.1</v>
      </c>
      <c r="R39" s="12">
        <f>IF(C11/3&gt;D40,C11-2*D40,0.5*(C11-D40))</f>
        <v>3000</v>
      </c>
      <c r="S39" s="85">
        <f>MAX((($D$11-M40)/($D$11-M40+4762)),0)</f>
        <v>0.3351019268</v>
      </c>
      <c r="T39" s="98"/>
    </row>
    <row r="40" ht="14.25" customHeight="1">
      <c r="A40" s="111" t="s">
        <v>81</v>
      </c>
      <c r="B40" s="4">
        <f>B$25+B39+ROUNDDOWN(B42*4.65,0)</f>
        <v>17500</v>
      </c>
      <c r="C40" s="4">
        <f>C$25+C39+B42*2+ROUNDDOWN(D42*2,0)</f>
        <v>13000</v>
      </c>
      <c r="D40" s="4">
        <f t="shared" ref="D40:F40" si="3">D$25+D39</f>
        <v>500</v>
      </c>
      <c r="E40" s="4">
        <f t="shared" si="3"/>
        <v>6200</v>
      </c>
      <c r="F40" s="4">
        <f t="shared" si="3"/>
        <v>11500</v>
      </c>
      <c r="G40" s="4">
        <f>G$25+G39+ROUNDDOWN(C42*0.83,0)</f>
        <v>4400</v>
      </c>
      <c r="H40" s="113">
        <v>0.0</v>
      </c>
      <c r="I40" s="114">
        <f t="shared" ref="I40:K40" si="4">I$25+I39</f>
        <v>0.937</v>
      </c>
      <c r="J40" s="114">
        <f t="shared" si="4"/>
        <v>0</v>
      </c>
      <c r="K40" s="114">
        <f t="shared" si="4"/>
        <v>0.193</v>
      </c>
      <c r="L40" s="114">
        <f>L25+L39</f>
        <v>0.1</v>
      </c>
      <c r="M40" s="115">
        <f>A25+M39</f>
        <v>2100</v>
      </c>
      <c r="N40" s="4">
        <f>N25+N39</f>
        <v>0</v>
      </c>
      <c r="O40" s="78" t="s">
        <v>134</v>
      </c>
      <c r="P40" s="78" t="s">
        <v>135</v>
      </c>
      <c r="Q40" s="15"/>
      <c r="R40" s="24">
        <f>MAX(R39,0)</f>
        <v>3000</v>
      </c>
      <c r="S40" s="78" t="s">
        <v>136</v>
      </c>
    </row>
    <row r="41" ht="14.25" customHeight="1">
      <c r="A41" s="111"/>
      <c r="B41" s="76" t="s">
        <v>161</v>
      </c>
      <c r="C41" s="76" t="s">
        <v>162</v>
      </c>
      <c r="D41" s="76" t="s">
        <v>163</v>
      </c>
      <c r="E41" s="116" t="s">
        <v>128</v>
      </c>
      <c r="F41" s="94"/>
      <c r="G41" s="116" t="s">
        <v>129</v>
      </c>
      <c r="H41" s="94"/>
      <c r="I41" s="116" t="s">
        <v>164</v>
      </c>
      <c r="J41" s="94"/>
      <c r="K41" s="76" t="s">
        <v>131</v>
      </c>
      <c r="L41" s="77" t="s">
        <v>132</v>
      </c>
      <c r="M41" s="76" t="s">
        <v>165</v>
      </c>
      <c r="N41" s="76" t="s">
        <v>76</v>
      </c>
      <c r="O41" s="85">
        <f>MIN((143*(G40-F11)/(G40-F11+10688)+95)/100,1)</f>
        <v>1</v>
      </c>
      <c r="P41" s="85">
        <f>MAX((((115*(H40-$G$11)-200)/((H40-$G$11)+2666)/100)),0.05)+J40</f>
        <v>0.05</v>
      </c>
      <c r="Q41" s="86"/>
      <c r="R41" s="12"/>
      <c r="S41" s="95">
        <f>IF(N42&gt;M11,N42-M11,0)</f>
        <v>689</v>
      </c>
      <c r="V41" s="24" t="s">
        <v>166</v>
      </c>
      <c r="W41" s="24">
        <f>IFS(B47="无",0,B47="悟",15+3*R19,B47="携",16+4*R19)</f>
        <v>138</v>
      </c>
    </row>
    <row r="42" ht="14.25" customHeight="1">
      <c r="A42" s="111" t="s">
        <v>80</v>
      </c>
      <c r="B42" s="36"/>
      <c r="C42" s="36"/>
      <c r="D42" s="36"/>
      <c r="E42" s="93">
        <f>(($N$19+$O$19*(B40-$E$11+F40+N40-K11-R40+S41))*(1-P39)*(1+K42-O11)+(1+M42-O11)*E40*$O$19*(1-S39))*(1+K40-H11)*Q39</f>
        <v>16145.88624</v>
      </c>
      <c r="F42" s="94"/>
      <c r="G42" s="93">
        <f>E42*O41*(1+P42*P41)+0.5*E42*(1-O41)</f>
        <v>16700.49743</v>
      </c>
      <c r="H42" s="94"/>
      <c r="I42" s="117">
        <f>(G42-$D$27)/$D$27</f>
        <v>-0.1498578464</v>
      </c>
      <c r="J42" s="94"/>
      <c r="K42" s="84">
        <v>0.05</v>
      </c>
      <c r="L42" s="83"/>
      <c r="M42" s="84">
        <v>0.11</v>
      </c>
      <c r="N42" s="81">
        <v>6000.0</v>
      </c>
      <c r="P42" s="118">
        <f>MAX(I40-J11,50%)</f>
        <v>0.687</v>
      </c>
      <c r="Q42" s="15"/>
      <c r="V42" s="24" t="s">
        <v>167</v>
      </c>
      <c r="W42" s="24">
        <f>IFS(C47="无",0,C47="悟",8+7*R19,C47="携",10+9*R19)</f>
        <v>0</v>
      </c>
    </row>
    <row r="43" ht="10.5" customHeight="1">
      <c r="B43" s="14" t="s">
        <v>168</v>
      </c>
      <c r="H43" s="64"/>
      <c r="I43" s="64"/>
      <c r="J43" s="64"/>
      <c r="K43" s="64"/>
      <c r="L43" s="15"/>
      <c r="Q43" s="15"/>
      <c r="V43" s="24" t="s">
        <v>169</v>
      </c>
      <c r="W43" s="24">
        <f>IFS(D47="无",0,D47="悟",0.084,D47="携",0.084)</f>
        <v>0.084</v>
      </c>
    </row>
    <row r="44" ht="14.25" customHeight="1">
      <c r="H44" s="64"/>
      <c r="I44" s="64"/>
      <c r="J44" s="64"/>
      <c r="K44" s="64"/>
      <c r="L44" s="15"/>
      <c r="Q44" s="15"/>
      <c r="V44" s="24" t="s">
        <v>170</v>
      </c>
      <c r="W44" s="24">
        <f>IFS(E47="无",0,E47="悟",15+3*R19,E47="携",80+5*R19)</f>
        <v>0</v>
      </c>
    </row>
    <row r="45" ht="14.25" customHeight="1">
      <c r="A45" s="119" t="s">
        <v>171</v>
      </c>
      <c r="B45" s="120"/>
      <c r="C45" s="120"/>
      <c r="D45" s="120"/>
      <c r="E45" s="120"/>
      <c r="F45" s="120"/>
      <c r="G45" s="120"/>
      <c r="H45" s="120"/>
      <c r="I45" s="120"/>
      <c r="J45" s="120"/>
      <c r="K45" s="120"/>
      <c r="L45" s="120"/>
      <c r="M45" s="120"/>
      <c r="N45" s="94"/>
      <c r="O45" s="72" t="s">
        <v>101</v>
      </c>
      <c r="P45" s="73"/>
      <c r="Q45" s="74"/>
      <c r="R45" s="73"/>
      <c r="S45" s="75"/>
      <c r="V45" s="24" t="s">
        <v>172</v>
      </c>
      <c r="W45" s="24">
        <f>IFS(F47="无",0,F47="悟",6+3*R19,F47="携",10+5*R19)</f>
        <v>0</v>
      </c>
    </row>
    <row r="46" ht="14.25" customHeight="1">
      <c r="A46" s="111" t="s">
        <v>173</v>
      </c>
      <c r="B46" s="36" t="s">
        <v>166</v>
      </c>
      <c r="C46" s="36" t="s">
        <v>167</v>
      </c>
      <c r="D46" s="36" t="s">
        <v>169</v>
      </c>
      <c r="E46" s="36" t="s">
        <v>170</v>
      </c>
      <c r="F46" s="36" t="s">
        <v>172</v>
      </c>
      <c r="G46" s="36" t="s">
        <v>174</v>
      </c>
      <c r="H46" s="36" t="s">
        <v>175</v>
      </c>
      <c r="I46" s="38" t="s">
        <v>176</v>
      </c>
      <c r="J46" s="39" t="s">
        <v>177</v>
      </c>
      <c r="K46" s="39" t="s">
        <v>178</v>
      </c>
      <c r="L46" s="39" t="s">
        <v>179</v>
      </c>
      <c r="M46" s="39" t="s">
        <v>180</v>
      </c>
      <c r="N46" s="39" t="s">
        <v>181</v>
      </c>
      <c r="O46" s="78" t="s">
        <v>121</v>
      </c>
      <c r="P46" s="78" t="s">
        <v>122</v>
      </c>
      <c r="Q46" s="79" t="s">
        <v>123</v>
      </c>
      <c r="R46" s="78" t="s">
        <v>124</v>
      </c>
      <c r="S46" s="78" t="s">
        <v>125</v>
      </c>
      <c r="V46" s="24" t="s">
        <v>182</v>
      </c>
      <c r="W46" s="24">
        <f>IFS(H47="无",0,H47="下品",200,H47="上品",220)</f>
        <v>0</v>
      </c>
    </row>
    <row r="47" ht="24.0" customHeight="1">
      <c r="A47" s="53" t="s">
        <v>183</v>
      </c>
      <c r="B47" s="36" t="s">
        <v>184</v>
      </c>
      <c r="C47" s="36" t="s">
        <v>185</v>
      </c>
      <c r="D47" s="36" t="s">
        <v>184</v>
      </c>
      <c r="E47" s="36" t="s">
        <v>185</v>
      </c>
      <c r="F47" s="36" t="s">
        <v>185</v>
      </c>
      <c r="G47" s="36" t="s">
        <v>185</v>
      </c>
      <c r="H47" s="36" t="s">
        <v>185</v>
      </c>
      <c r="I47" s="38" t="s">
        <v>186</v>
      </c>
      <c r="J47" s="39" t="s">
        <v>186</v>
      </c>
      <c r="K47" s="39" t="s">
        <v>185</v>
      </c>
      <c r="L47" s="39" t="s">
        <v>185</v>
      </c>
      <c r="M47" s="39" t="s">
        <v>187</v>
      </c>
      <c r="N47" s="37" t="s">
        <v>187</v>
      </c>
      <c r="O47" s="12">
        <f>MAX(0,$B$11-C49)</f>
        <v>5500</v>
      </c>
      <c r="P47" s="85">
        <f>MAX(0.1+(O47/(O47+19032)),0.1)</f>
        <v>0.3241969672</v>
      </c>
      <c r="Q47" s="86">
        <f>1+(L49-L11)</f>
        <v>1</v>
      </c>
      <c r="R47" s="12">
        <f>IF(C11/3&gt;D49,C11-2*D49,0.5*(C11-D49))</f>
        <v>3000</v>
      </c>
      <c r="S47" s="85">
        <f>MAX((($D$11-M49)/($D$11-M49+4762)),0)</f>
        <v>0.3351019268</v>
      </c>
      <c r="V47" s="24" t="s">
        <v>188</v>
      </c>
      <c r="W47" s="24">
        <f>IFS(I47="无",0,I47="普通",0.04,I47="灵韵",0.05)</f>
        <v>0.04</v>
      </c>
    </row>
    <row r="48" ht="12.75" customHeight="1">
      <c r="A48" s="111" t="s">
        <v>189</v>
      </c>
      <c r="B48" s="76" t="s">
        <v>108</v>
      </c>
      <c r="C48" s="76" t="s">
        <v>109</v>
      </c>
      <c r="D48" s="76" t="s">
        <v>110</v>
      </c>
      <c r="E48" s="76" t="s">
        <v>111</v>
      </c>
      <c r="F48" s="76" t="s">
        <v>112</v>
      </c>
      <c r="G48" s="76" t="s">
        <v>113</v>
      </c>
      <c r="H48" s="76" t="s">
        <v>114</v>
      </c>
      <c r="I48" s="76" t="s">
        <v>160</v>
      </c>
      <c r="J48" s="76" t="s">
        <v>116</v>
      </c>
      <c r="K48" s="76" t="s">
        <v>117</v>
      </c>
      <c r="L48" s="77" t="s">
        <v>118</v>
      </c>
      <c r="M48" s="76" t="s">
        <v>107</v>
      </c>
      <c r="N48" s="76" t="s">
        <v>120</v>
      </c>
      <c r="O48" s="78"/>
      <c r="P48" s="78"/>
      <c r="Q48" s="79"/>
      <c r="R48" s="78"/>
      <c r="S48" s="78"/>
      <c r="V48" s="24" t="s">
        <v>190</v>
      </c>
      <c r="W48" s="24">
        <f>IFS(H47="无",0,H47="下品",215,H47="上品",230)</f>
        <v>0</v>
      </c>
    </row>
    <row r="49" ht="14.25" customHeight="1">
      <c r="A49" s="121" t="s">
        <v>81</v>
      </c>
      <c r="B49" s="122">
        <f>B$25/1.11*(1.11+W49)+W46*(1.11+W49)</f>
        <v>18729.72973</v>
      </c>
      <c r="C49" s="122">
        <f>C25+W42</f>
        <v>13000</v>
      </c>
      <c r="D49" s="122">
        <f>D25</f>
        <v>500</v>
      </c>
      <c r="E49" s="122">
        <f>(E$25+W44)*(1+W49)</f>
        <v>6683.6</v>
      </c>
      <c r="F49" s="122">
        <f>F$25</f>
        <v>11500</v>
      </c>
      <c r="G49" s="122">
        <f>G$25+W45</f>
        <v>4400</v>
      </c>
      <c r="H49" s="123">
        <f>H25+(W48+W53+W41)*1.06</f>
        <v>4746.28</v>
      </c>
      <c r="I49" s="124">
        <f>I$25+W47+W50+W51+W54+W43</f>
        <v>1.294</v>
      </c>
      <c r="J49" s="124">
        <f>J25</f>
        <v>0</v>
      </c>
      <c r="K49" s="124">
        <f>K$25+W52</f>
        <v>0.193</v>
      </c>
      <c r="L49" s="124">
        <f>L25+W55</f>
        <v>0</v>
      </c>
      <c r="M49" s="125">
        <f>A25</f>
        <v>2100</v>
      </c>
      <c r="N49" s="123">
        <f>N25</f>
        <v>0</v>
      </c>
      <c r="O49" s="78" t="s">
        <v>134</v>
      </c>
      <c r="P49" s="78" t="s">
        <v>135</v>
      </c>
      <c r="Q49" s="86"/>
      <c r="R49" s="12">
        <f>MAX(R47,0)</f>
        <v>3000</v>
      </c>
      <c r="S49" s="78" t="s">
        <v>136</v>
      </c>
      <c r="V49" s="24" t="s">
        <v>180</v>
      </c>
      <c r="W49" s="24">
        <f>IFS(M47="无",0,M47="有",0.078)</f>
        <v>0.078</v>
      </c>
    </row>
    <row r="50" ht="14.25" customHeight="1">
      <c r="A50" s="111" t="s">
        <v>191</v>
      </c>
      <c r="B50" s="76" t="s">
        <v>191</v>
      </c>
      <c r="C50" s="76" t="s">
        <v>191</v>
      </c>
      <c r="D50" s="76" t="s">
        <v>191</v>
      </c>
      <c r="E50" s="116" t="s">
        <v>128</v>
      </c>
      <c r="F50" s="94"/>
      <c r="G50" s="116" t="s">
        <v>129</v>
      </c>
      <c r="H50" s="94"/>
      <c r="I50" s="116" t="s">
        <v>164</v>
      </c>
      <c r="J50" s="94"/>
      <c r="K50" s="76" t="s">
        <v>131</v>
      </c>
      <c r="L50" s="77" t="s">
        <v>132</v>
      </c>
      <c r="M50" s="76" t="s">
        <v>165</v>
      </c>
      <c r="N50" s="76" t="s">
        <v>76</v>
      </c>
      <c r="O50" s="85">
        <f>MIN((143*(G49-F11)/(G49-F11+10688)+95)/100,1)</f>
        <v>1</v>
      </c>
      <c r="P50" s="85">
        <f>MAX((((115*(H49-$G$11)-200)/((H49-$G$11)+2666)/100)),0.05)+J49</f>
        <v>0.5124851422</v>
      </c>
      <c r="Q50" s="86"/>
      <c r="R50" s="12"/>
      <c r="S50" s="95">
        <f>IF(N51&gt;M11,N51-M11,0)</f>
        <v>3189</v>
      </c>
      <c r="V50" s="24" t="s">
        <v>181</v>
      </c>
      <c r="W50" s="24">
        <f>IFS(N47="无",0,N47="有",0.091)</f>
        <v>0.091</v>
      </c>
    </row>
    <row r="51" ht="14.25" customHeight="1">
      <c r="A51" s="111" t="s">
        <v>183</v>
      </c>
      <c r="B51" s="36">
        <v>0.0</v>
      </c>
      <c r="C51" s="36">
        <v>0.0</v>
      </c>
      <c r="D51" s="36">
        <v>0.0</v>
      </c>
      <c r="E51" s="126">
        <f>(($N$19+$O$19*(B49-$E$11+F49-R49-K11+N49+S50))*(1-P47)*(1+K51-O11)+(1+M51-O11)*E49*$O$19*(1-S47))*(1+K49-H11)*Q47</f>
        <v>16726.31597</v>
      </c>
      <c r="F51" s="94"/>
      <c r="G51" s="126">
        <f>E51*O50*(1+(I49-J11)*P50)+0.5*E51*(1-O50)</f>
        <v>25675.47187</v>
      </c>
      <c r="H51" s="94"/>
      <c r="I51" s="127">
        <f>(G51-$D$27)/$D$27</f>
        <v>0.3070150182</v>
      </c>
      <c r="J51" s="94"/>
      <c r="K51" s="84">
        <v>0.05</v>
      </c>
      <c r="L51" s="83"/>
      <c r="M51" s="84">
        <v>0.09</v>
      </c>
      <c r="N51" s="81">
        <v>8500.0</v>
      </c>
      <c r="Q51" s="15"/>
      <c r="V51" s="24" t="s">
        <v>177</v>
      </c>
      <c r="W51" s="24">
        <f>IFS(J47="无",0,J47="普通",0.142,J47="灵韵",0.192)</f>
        <v>0.142</v>
      </c>
    </row>
    <row r="52" ht="14.25" customHeight="1">
      <c r="L52" s="15"/>
      <c r="Q52" s="15"/>
      <c r="V52" s="24" t="s">
        <v>192</v>
      </c>
      <c r="W52" s="24">
        <f>IFS(K47="无",0,K47="普通",0.11,K47="灵韵",0.13)</f>
        <v>0</v>
      </c>
    </row>
    <row r="53" ht="14.25" customHeight="1">
      <c r="L53" s="15"/>
      <c r="Q53" s="15"/>
      <c r="V53" s="24" t="s">
        <v>174</v>
      </c>
      <c r="W53" s="24">
        <f>IFS(G47="无",0,G47="有",138)</f>
        <v>0</v>
      </c>
    </row>
    <row r="54" ht="15.0" customHeight="1">
      <c r="B54" s="14" t="s">
        <v>193</v>
      </c>
      <c r="L54" s="15"/>
      <c r="Q54" s="15"/>
      <c r="W54" s="24">
        <f>IFS(G47="无",0,G47="有",0.069)</f>
        <v>0</v>
      </c>
    </row>
    <row r="55" ht="14.25" customHeight="1">
      <c r="B55" s="128" t="s">
        <v>194</v>
      </c>
      <c r="C55" s="129"/>
      <c r="D55" s="129"/>
      <c r="E55" s="129"/>
      <c r="F55" s="129"/>
      <c r="G55" s="129"/>
      <c r="H55" s="129"/>
      <c r="I55" s="129"/>
      <c r="J55" s="129"/>
      <c r="K55" s="129"/>
      <c r="L55" s="129"/>
      <c r="M55" s="129"/>
      <c r="N55" s="130"/>
      <c r="O55" s="72" t="s">
        <v>101</v>
      </c>
      <c r="P55" s="73"/>
      <c r="Q55" s="74"/>
      <c r="R55" s="73"/>
      <c r="S55" s="75"/>
      <c r="V55" s="24" t="s">
        <v>195</v>
      </c>
      <c r="W55" s="24">
        <f>IFS(L47="无",0,L47="普通",0.12,L47="灵韵",0.15)</f>
        <v>0</v>
      </c>
    </row>
    <row r="56" ht="14.25" customHeight="1">
      <c r="B56" s="131" t="s">
        <v>108</v>
      </c>
      <c r="C56" s="131" t="s">
        <v>109</v>
      </c>
      <c r="D56" s="131" t="s">
        <v>110</v>
      </c>
      <c r="E56" s="131" t="s">
        <v>111</v>
      </c>
      <c r="F56" s="131" t="s">
        <v>112</v>
      </c>
      <c r="G56" s="131" t="s">
        <v>113</v>
      </c>
      <c r="H56" s="131" t="s">
        <v>114</v>
      </c>
      <c r="I56" s="131" t="s">
        <v>115</v>
      </c>
      <c r="J56" s="131" t="s">
        <v>116</v>
      </c>
      <c r="K56" s="131" t="s">
        <v>117</v>
      </c>
      <c r="L56" s="132" t="s">
        <v>118</v>
      </c>
      <c r="M56" s="131" t="s">
        <v>107</v>
      </c>
      <c r="N56" s="131" t="s">
        <v>120</v>
      </c>
      <c r="O56" s="78" t="s">
        <v>121</v>
      </c>
      <c r="P56" s="78" t="s">
        <v>122</v>
      </c>
      <c r="Q56" s="79" t="s">
        <v>123</v>
      </c>
      <c r="R56" s="78" t="s">
        <v>124</v>
      </c>
      <c r="S56" s="78" t="s">
        <v>125</v>
      </c>
    </row>
    <row r="57" ht="14.25" customHeight="1">
      <c r="B57" s="81">
        <v>9800.0</v>
      </c>
      <c r="C57" s="81">
        <v>7262.0</v>
      </c>
      <c r="D57" s="81">
        <v>700.0</v>
      </c>
      <c r="E57" s="81">
        <v>2235.0</v>
      </c>
      <c r="F57" s="81">
        <v>2545.0</v>
      </c>
      <c r="G57" s="81">
        <v>1567.0</v>
      </c>
      <c r="H57" s="82">
        <v>4600.0</v>
      </c>
      <c r="I57" s="83">
        <v>0.892</v>
      </c>
      <c r="J57" s="83">
        <v>0.05</v>
      </c>
      <c r="K57" s="83">
        <v>0.131</v>
      </c>
      <c r="L57" s="80">
        <v>0.0</v>
      </c>
      <c r="M57" s="80">
        <v>699.0</v>
      </c>
      <c r="N57" s="80">
        <v>800.0</v>
      </c>
      <c r="O57" s="12">
        <f>MAX(0,$B$11-C57)</f>
        <v>11238</v>
      </c>
      <c r="P57" s="85">
        <f>MAX(0.1+(O57/(O57+19032)),0.1)</f>
        <v>0.471258672</v>
      </c>
      <c r="Q57" s="86">
        <f>1+(L57-L11)</f>
        <v>1</v>
      </c>
      <c r="R57" s="12">
        <f>IF(C11/3&gt;D57,C11-2*D57,0.5*(C11-D57))</f>
        <v>2600</v>
      </c>
      <c r="S57" s="85">
        <f>MAX((($D$11-M57)/($D$11-M57+4762)),0)</f>
        <v>0.4438864884</v>
      </c>
    </row>
    <row r="58" ht="14.25" customHeight="1">
      <c r="B58" s="133" t="s">
        <v>128</v>
      </c>
      <c r="C58" s="90"/>
      <c r="D58" s="134" t="s">
        <v>129</v>
      </c>
      <c r="E58" s="94"/>
      <c r="F58" s="14"/>
      <c r="K58" s="76" t="s">
        <v>131</v>
      </c>
      <c r="L58" s="132" t="s">
        <v>132</v>
      </c>
      <c r="M58" s="131" t="s">
        <v>165</v>
      </c>
      <c r="O58" s="78" t="s">
        <v>134</v>
      </c>
      <c r="P58" s="78" t="s">
        <v>135</v>
      </c>
      <c r="Q58" s="86"/>
      <c r="R58" s="12">
        <f>MAX(R57,0)</f>
        <v>2600</v>
      </c>
      <c r="S58" s="78" t="s">
        <v>136</v>
      </c>
    </row>
    <row r="59" ht="14.25" customHeight="1">
      <c r="B59" s="93">
        <f>(($N$19+$O$19*(B57-$E$11+F57+N57-R58-K11+S59))*(1-P57)*(1+K59-O11)+(1+M59-O11)*E57*$O$19*(1-S57))*(1+K57-H11)*Q57</f>
        <v>3321.080007</v>
      </c>
      <c r="C59" s="94"/>
      <c r="D59" s="93">
        <f>B59*O59*(1+(I57-J11)*P59)+0.5*B59*(1-O59)</f>
        <v>3447.426591</v>
      </c>
      <c r="E59" s="94"/>
      <c r="K59" s="84">
        <v>0.05</v>
      </c>
      <c r="L59" s="135"/>
      <c r="M59" s="136">
        <v>0.11</v>
      </c>
      <c r="O59" s="85">
        <f>MIN((143*(G57-F11)/(G57-F11+10688)+95)/100,1)</f>
        <v>0.6342729869</v>
      </c>
      <c r="P59" s="85">
        <f>MAX((((115*(H57-$G$11)-200)/((H57-$G$11)+2666)/100)),0.05)+J57</f>
        <v>0.5424989284</v>
      </c>
      <c r="Q59" s="86"/>
      <c r="R59" s="12"/>
      <c r="S59" s="12"/>
      <c r="T59" s="53" t="s">
        <v>196</v>
      </c>
    </row>
    <row r="60" ht="14.25" customHeight="1">
      <c r="A60" s="137"/>
      <c r="B60" s="137"/>
      <c r="C60" s="137"/>
      <c r="D60" s="137"/>
      <c r="E60" s="137"/>
      <c r="F60" s="137"/>
      <c r="G60" s="137"/>
      <c r="H60" s="137"/>
      <c r="I60" s="137"/>
      <c r="J60" s="137"/>
      <c r="K60" s="137"/>
      <c r="L60" s="15"/>
      <c r="Q60" s="15"/>
    </row>
    <row r="61" ht="14.25" customHeight="1">
      <c r="B61" s="128" t="s">
        <v>197</v>
      </c>
      <c r="C61" s="129"/>
      <c r="D61" s="129"/>
      <c r="E61" s="129"/>
      <c r="F61" s="129"/>
      <c r="G61" s="129"/>
      <c r="H61" s="129"/>
      <c r="I61" s="129"/>
      <c r="J61" s="129"/>
      <c r="K61" s="129"/>
      <c r="L61" s="129"/>
      <c r="M61" s="129"/>
      <c r="N61" s="130"/>
      <c r="O61" s="72" t="s">
        <v>101</v>
      </c>
      <c r="P61" s="73"/>
      <c r="Q61" s="74"/>
      <c r="R61" s="73"/>
      <c r="S61" s="75"/>
    </row>
    <row r="62" ht="14.25" customHeight="1">
      <c r="B62" s="138" t="s">
        <v>108</v>
      </c>
      <c r="C62" s="131" t="s">
        <v>109</v>
      </c>
      <c r="D62" s="131" t="s">
        <v>110</v>
      </c>
      <c r="E62" s="131" t="s">
        <v>111</v>
      </c>
      <c r="F62" s="131" t="s">
        <v>112</v>
      </c>
      <c r="G62" s="131" t="s">
        <v>113</v>
      </c>
      <c r="H62" s="131" t="s">
        <v>114</v>
      </c>
      <c r="I62" s="131" t="s">
        <v>115</v>
      </c>
      <c r="J62" s="131" t="s">
        <v>116</v>
      </c>
      <c r="K62" s="131" t="s">
        <v>117</v>
      </c>
      <c r="L62" s="139" t="s">
        <v>118</v>
      </c>
      <c r="M62" s="138" t="s">
        <v>107</v>
      </c>
      <c r="N62" s="131" t="s">
        <v>120</v>
      </c>
      <c r="O62" s="78" t="s">
        <v>121</v>
      </c>
      <c r="P62" s="78" t="s">
        <v>122</v>
      </c>
      <c r="Q62" s="79" t="s">
        <v>123</v>
      </c>
      <c r="R62" s="78" t="s">
        <v>124</v>
      </c>
      <c r="S62" s="78" t="s">
        <v>125</v>
      </c>
    </row>
    <row r="63" ht="14.25" customHeight="1">
      <c r="B63" s="81">
        <v>9800.0</v>
      </c>
      <c r="C63" s="81">
        <v>2500.0</v>
      </c>
      <c r="D63" s="81">
        <v>700.0</v>
      </c>
      <c r="E63" s="81">
        <v>3900.0</v>
      </c>
      <c r="F63" s="81">
        <v>1800.0</v>
      </c>
      <c r="G63" s="81">
        <v>1351.0</v>
      </c>
      <c r="H63" s="82">
        <v>4000.0</v>
      </c>
      <c r="I63" s="83">
        <v>0.934</v>
      </c>
      <c r="J63" s="83">
        <v>0.03</v>
      </c>
      <c r="K63" s="83">
        <v>0.15</v>
      </c>
      <c r="L63" s="135"/>
      <c r="M63" s="80">
        <v>700.0</v>
      </c>
      <c r="N63" s="80">
        <v>800.0</v>
      </c>
      <c r="O63" s="12">
        <f>MAX(0,$B$11-C63)</f>
        <v>16000</v>
      </c>
      <c r="P63" s="85">
        <f>MAX(0.1+(O63/(O63+19032)),0.1)</f>
        <v>0.5567252797</v>
      </c>
      <c r="Q63" s="86">
        <f>1+(L63-L11)</f>
        <v>1</v>
      </c>
      <c r="R63" s="12">
        <f>IF(C11/3&gt;D63,C11-2*D63,0.5*(C11-D63))</f>
        <v>2600</v>
      </c>
      <c r="S63" s="85">
        <f>MAX((($D$11-M63)/($D$11-M63+4762)),0)</f>
        <v>0.443821537</v>
      </c>
    </row>
    <row r="64" ht="14.25" customHeight="1">
      <c r="B64" s="133" t="s">
        <v>128</v>
      </c>
      <c r="C64" s="90"/>
      <c r="D64" s="134" t="s">
        <v>129</v>
      </c>
      <c r="E64" s="94"/>
      <c r="F64" s="134" t="s">
        <v>164</v>
      </c>
      <c r="G64" s="94"/>
      <c r="H64" s="65"/>
      <c r="I64" s="65"/>
      <c r="J64" s="65"/>
      <c r="K64" s="76" t="s">
        <v>131</v>
      </c>
      <c r="L64" s="132" t="s">
        <v>132</v>
      </c>
      <c r="M64" s="131" t="s">
        <v>165</v>
      </c>
      <c r="O64" s="78" t="s">
        <v>134</v>
      </c>
      <c r="P64" s="78" t="s">
        <v>135</v>
      </c>
      <c r="Q64" s="86"/>
      <c r="R64" s="12">
        <f>MAX(R63,0)</f>
        <v>2600</v>
      </c>
      <c r="S64" s="78" t="s">
        <v>136</v>
      </c>
    </row>
    <row r="65" ht="14.25" customHeight="1">
      <c r="A65" s="137"/>
      <c r="B65" s="93">
        <f>(($N$19+$O$19*(B63-$E$11+F63+N63-R64-K11+S65))*(1-P63)*(1+K65-O11)+(1+M65-O11)*E63*$O$19*(1-S63))*(1+K63-H11)*Q63</f>
        <v>3467.790557</v>
      </c>
      <c r="C65" s="94"/>
      <c r="D65" s="93">
        <f>B65*O65*(1+(I63-J11)*P65)+0.5*B65*(1-O65)</f>
        <v>3352.640541</v>
      </c>
      <c r="E65" s="94"/>
      <c r="F65" s="117">
        <f>(D65-D59)/D59</f>
        <v>-0.02749472621</v>
      </c>
      <c r="G65" s="94"/>
      <c r="H65" s="65"/>
      <c r="I65" s="65"/>
      <c r="J65" s="65"/>
      <c r="K65" s="84">
        <v>0.05</v>
      </c>
      <c r="L65" s="135"/>
      <c r="M65" s="136">
        <v>0.11</v>
      </c>
      <c r="O65" s="85">
        <f>MIN((143*(G63-F11)/(G63-F11+10688)+95)/100,1)</f>
        <v>0.5901135964</v>
      </c>
      <c r="P65" s="85">
        <f>MAX((((115*(H63-$G$11)-200)/((H63-$G$11)+2666)/100)),0.05)+J63</f>
        <v>0.425474668</v>
      </c>
      <c r="Q65" s="86"/>
      <c r="R65" s="12"/>
      <c r="S65" s="12"/>
      <c r="T65" s="53" t="s">
        <v>196</v>
      </c>
    </row>
    <row r="66" ht="14.25" customHeight="1">
      <c r="A66" s="137"/>
      <c r="B66" s="137"/>
      <c r="C66" s="137"/>
      <c r="D66" s="137"/>
      <c r="E66" s="137"/>
      <c r="F66" s="137"/>
      <c r="G66" s="137"/>
      <c r="H66" s="137"/>
      <c r="I66" s="137"/>
      <c r="J66" s="137"/>
      <c r="K66" s="137"/>
      <c r="L66" s="15"/>
      <c r="O66" s="24" t="s">
        <v>198</v>
      </c>
      <c r="Q66" s="15"/>
    </row>
    <row r="67" ht="14.25" customHeight="1">
      <c r="A67" s="137"/>
      <c r="B67" s="137"/>
      <c r="C67" s="137"/>
      <c r="D67" s="137"/>
      <c r="E67" s="137"/>
      <c r="F67" s="137"/>
      <c r="G67" s="137"/>
      <c r="H67" s="137"/>
      <c r="I67" s="137"/>
      <c r="J67" s="137"/>
      <c r="K67" s="137"/>
      <c r="L67" s="15"/>
      <c r="Q67" s="15"/>
    </row>
    <row r="68" ht="14.25" customHeight="1">
      <c r="A68" s="137"/>
      <c r="B68" s="137"/>
      <c r="C68" s="137"/>
      <c r="D68" s="137"/>
      <c r="E68" s="137"/>
      <c r="F68" s="137"/>
      <c r="G68" s="137"/>
      <c r="H68" s="137"/>
      <c r="I68" s="137"/>
      <c r="J68" s="137"/>
      <c r="K68" s="137"/>
      <c r="L68" s="15"/>
      <c r="Q68" s="15"/>
    </row>
    <row r="69" ht="14.25" customHeight="1">
      <c r="A69" s="137"/>
      <c r="B69" s="140" t="s">
        <v>199</v>
      </c>
      <c r="C69" s="137"/>
      <c r="D69" s="137"/>
      <c r="E69" s="137"/>
      <c r="F69" s="137"/>
      <c r="G69" s="137"/>
      <c r="H69" s="137"/>
      <c r="I69" s="137"/>
      <c r="J69" s="137"/>
      <c r="K69" s="137"/>
      <c r="L69" s="15"/>
      <c r="Q69" s="15"/>
    </row>
    <row r="70" ht="14.25" customHeight="1">
      <c r="A70" s="137"/>
      <c r="B70" s="140" t="s">
        <v>200</v>
      </c>
      <c r="C70" s="137"/>
      <c r="D70" s="137"/>
      <c r="E70" s="137"/>
      <c r="F70" s="137"/>
      <c r="G70" s="137"/>
      <c r="H70" s="137"/>
      <c r="I70" s="137"/>
      <c r="J70" s="137"/>
      <c r="K70" s="137"/>
      <c r="L70" s="15"/>
      <c r="Q70" s="55"/>
      <c r="R70" s="14" t="s">
        <v>201</v>
      </c>
    </row>
    <row r="71" ht="14.25" customHeight="1">
      <c r="B71" s="14" t="s">
        <v>202</v>
      </c>
      <c r="L71" s="15"/>
      <c r="Q71" s="15"/>
    </row>
    <row r="72" ht="14.25" customHeight="1">
      <c r="B72" s="14" t="s">
        <v>203</v>
      </c>
      <c r="G72" s="14" t="s">
        <v>204</v>
      </c>
      <c r="L72" s="15"/>
      <c r="Q72" s="15"/>
      <c r="U72" s="98">
        <f>(V72/B27)-1</f>
        <v>0.1680218442</v>
      </c>
      <c r="V72" s="24">
        <f>(($N$19+$O$19*(B25-$E$11+F25+N25-R25-K11+N27-M11))*(1-P25)+E25*$O$19*(1-V73))*(1+K25-H11)</f>
        <v>17144.3162</v>
      </c>
    </row>
    <row r="73" ht="14.25" customHeight="1">
      <c r="B73" s="14" t="s">
        <v>205</v>
      </c>
      <c r="G73" s="14" t="s">
        <v>206</v>
      </c>
      <c r="L73" s="15"/>
      <c r="Q73" s="15"/>
      <c r="V73" s="24">
        <f>MAX((($D$11-210-A25)/($D$11-A25+4850-210)),0)</f>
        <v>0.3110795455</v>
      </c>
    </row>
    <row r="74" ht="14.25" customHeight="1">
      <c r="B74" s="141" t="s">
        <v>207</v>
      </c>
      <c r="D74" s="141">
        <v>0.0</v>
      </c>
      <c r="E74" s="14" t="s">
        <v>208</v>
      </c>
      <c r="L74" s="15"/>
      <c r="Q74" s="15"/>
    </row>
    <row r="75" ht="14.25" customHeight="1">
      <c r="B75" s="14"/>
      <c r="D75" s="14" t="s">
        <v>209</v>
      </c>
      <c r="E75" s="14" t="s">
        <v>210</v>
      </c>
      <c r="L75" s="15"/>
      <c r="Q75" s="15"/>
    </row>
    <row r="76" ht="14.25" customHeight="1">
      <c r="B76" s="14"/>
      <c r="D76" s="14" t="s">
        <v>211</v>
      </c>
      <c r="E76" s="14" t="s">
        <v>212</v>
      </c>
      <c r="G76" s="14" t="s">
        <v>213</v>
      </c>
      <c r="L76" s="15"/>
      <c r="Q76" s="15"/>
    </row>
    <row r="77" ht="14.25" customHeight="1">
      <c r="B77" s="14" t="s">
        <v>214</v>
      </c>
      <c r="L77" s="15"/>
      <c r="Q77" s="15"/>
    </row>
    <row r="78" ht="14.25" customHeight="1">
      <c r="B78" s="14" t="s">
        <v>215</v>
      </c>
      <c r="G78" s="14" t="s">
        <v>216</v>
      </c>
      <c r="L78" s="15"/>
      <c r="Q78" s="15"/>
    </row>
    <row r="79" ht="14.25" customHeight="1">
      <c r="B79" s="14" t="s">
        <v>217</v>
      </c>
      <c r="L79" s="15"/>
      <c r="Q79" s="15"/>
    </row>
    <row r="80" ht="14.25" customHeight="1">
      <c r="B80" s="14" t="s">
        <v>218</v>
      </c>
      <c r="G80" s="14" t="s">
        <v>219</v>
      </c>
      <c r="L80" s="15"/>
      <c r="Q80" s="15"/>
    </row>
    <row r="81" ht="14.25" customHeight="1">
      <c r="L81" s="15"/>
      <c r="Q81" s="15"/>
    </row>
    <row r="82" ht="14.25" customHeight="1">
      <c r="L82" s="15"/>
      <c r="Q82" s="15"/>
    </row>
    <row r="83" ht="14.25" customHeight="1">
      <c r="L83" s="15"/>
      <c r="Q83" s="15"/>
    </row>
    <row r="84" ht="14.25" customHeight="1">
      <c r="L84" s="15"/>
      <c r="Q84" s="15"/>
    </row>
    <row r="85" ht="14.25" customHeight="1">
      <c r="L85" s="15"/>
      <c r="Q85" s="15"/>
    </row>
    <row r="86" ht="14.25" customHeight="1">
      <c r="L86" s="15"/>
      <c r="Q86" s="15"/>
    </row>
    <row r="87" ht="14.25" customHeight="1">
      <c r="L87" s="15"/>
      <c r="Q87" s="15"/>
    </row>
    <row r="88" ht="14.25" customHeight="1">
      <c r="L88" s="15"/>
      <c r="Q88" s="15"/>
    </row>
    <row r="89" ht="14.25" customHeight="1">
      <c r="L89" s="15"/>
      <c r="Q89" s="15"/>
    </row>
    <row r="90" ht="14.25" customHeight="1">
      <c r="L90" s="15"/>
      <c r="Q90" s="15"/>
    </row>
    <row r="91" ht="14.25" customHeight="1">
      <c r="L91" s="15"/>
      <c r="Q91" s="15"/>
    </row>
    <row r="92" ht="14.25" customHeight="1">
      <c r="L92" s="15"/>
      <c r="Q92" s="15"/>
    </row>
    <row r="93" ht="14.25" customHeight="1">
      <c r="L93" s="15"/>
      <c r="Q93" s="15"/>
    </row>
    <row r="94" ht="14.25" customHeight="1">
      <c r="L94" s="15"/>
      <c r="Q94" s="15"/>
    </row>
    <row r="95" ht="14.25" customHeight="1">
      <c r="L95" s="15"/>
      <c r="Q95" s="15"/>
    </row>
    <row r="96" ht="14.25" customHeight="1">
      <c r="L96" s="15"/>
      <c r="Q96" s="15"/>
    </row>
    <row r="97" ht="14.25" customHeight="1">
      <c r="L97" s="15"/>
      <c r="Q97" s="15"/>
    </row>
    <row r="98" ht="14.25" customHeight="1">
      <c r="L98" s="15"/>
      <c r="Q98" s="15"/>
    </row>
    <row r="99" ht="14.25" customHeight="1">
      <c r="L99" s="15"/>
      <c r="Q99" s="15"/>
    </row>
    <row r="100" ht="14.25" customHeight="1">
      <c r="L100" s="15"/>
      <c r="Q100" s="15"/>
    </row>
    <row r="101" ht="14.25" customHeight="1">
      <c r="L101" s="15"/>
      <c r="Q101" s="15"/>
    </row>
    <row r="102" ht="14.25" customHeight="1">
      <c r="L102" s="15"/>
      <c r="Q102" s="15"/>
    </row>
    <row r="103" ht="14.25" customHeight="1">
      <c r="L103" s="15"/>
      <c r="Q103" s="15"/>
    </row>
    <row r="104" ht="14.25" customHeight="1">
      <c r="L104" s="15"/>
      <c r="Q104" s="15"/>
    </row>
    <row r="105" ht="14.25" customHeight="1">
      <c r="L105" s="15"/>
      <c r="Q105" s="15"/>
    </row>
    <row r="106" ht="14.25" customHeight="1">
      <c r="L106" s="15"/>
      <c r="Q106" s="15"/>
    </row>
    <row r="107" ht="14.25" customHeight="1">
      <c r="L107" s="15"/>
      <c r="Q107" s="15"/>
    </row>
    <row r="108" ht="14.25" customHeight="1">
      <c r="L108" s="15"/>
      <c r="Q108" s="15"/>
    </row>
    <row r="109" ht="14.25" customHeight="1">
      <c r="L109" s="15"/>
      <c r="Q109" s="15"/>
    </row>
    <row r="110" ht="14.25" customHeight="1">
      <c r="L110" s="15"/>
      <c r="Q110" s="15"/>
    </row>
    <row r="111" ht="14.25" customHeight="1">
      <c r="L111" s="15"/>
      <c r="Q111" s="15"/>
    </row>
    <row r="112" ht="14.25" customHeight="1">
      <c r="L112" s="15"/>
      <c r="Q112" s="15"/>
    </row>
    <row r="113" ht="14.25" customHeight="1">
      <c r="L113" s="15"/>
      <c r="Q113" s="15"/>
    </row>
    <row r="114" ht="14.25" customHeight="1">
      <c r="L114" s="15"/>
      <c r="Q114" s="15"/>
    </row>
    <row r="115" ht="14.25" customHeight="1">
      <c r="L115" s="15"/>
      <c r="Q115" s="15"/>
    </row>
    <row r="116" ht="14.25" customHeight="1">
      <c r="L116" s="15"/>
      <c r="Q116" s="15"/>
    </row>
    <row r="117" ht="14.25" customHeight="1">
      <c r="L117" s="15"/>
      <c r="Q117" s="15"/>
    </row>
    <row r="118" ht="14.25" customHeight="1">
      <c r="L118" s="15"/>
      <c r="Q118" s="15"/>
    </row>
    <row r="119" ht="14.25" customHeight="1">
      <c r="L119" s="15"/>
      <c r="Q119" s="15"/>
    </row>
    <row r="120" ht="14.25" customHeight="1">
      <c r="L120" s="15"/>
      <c r="Q120" s="15"/>
    </row>
    <row r="121" ht="14.25" customHeight="1">
      <c r="L121" s="15"/>
      <c r="Q121" s="15"/>
    </row>
    <row r="122" ht="14.25" customHeight="1">
      <c r="L122" s="15"/>
      <c r="Q122" s="15"/>
    </row>
    <row r="123" ht="14.25" customHeight="1">
      <c r="L123" s="15"/>
      <c r="Q123" s="15"/>
    </row>
    <row r="124" ht="14.25" customHeight="1">
      <c r="L124" s="15"/>
      <c r="Q124" s="15"/>
    </row>
    <row r="125" ht="14.25" customHeight="1">
      <c r="L125" s="15"/>
      <c r="Q125" s="15"/>
    </row>
    <row r="126" ht="14.25" customHeight="1">
      <c r="L126" s="15"/>
      <c r="Q126" s="15"/>
    </row>
    <row r="127" ht="14.25" customHeight="1">
      <c r="L127" s="15"/>
      <c r="Q127" s="15"/>
    </row>
    <row r="128" ht="14.25" customHeight="1">
      <c r="L128" s="15"/>
      <c r="Q128" s="15"/>
    </row>
    <row r="129" ht="14.25" customHeight="1">
      <c r="L129" s="15"/>
      <c r="Q129" s="15"/>
    </row>
    <row r="130" ht="14.25" customHeight="1">
      <c r="L130" s="15"/>
      <c r="Q130" s="15"/>
    </row>
    <row r="131" ht="14.25" customHeight="1">
      <c r="L131" s="15"/>
      <c r="Q131" s="15"/>
    </row>
    <row r="132" ht="14.25" customHeight="1">
      <c r="L132" s="15"/>
      <c r="Q132" s="15"/>
    </row>
    <row r="133" ht="14.25" customHeight="1">
      <c r="L133" s="15"/>
      <c r="Q133" s="15"/>
    </row>
    <row r="134" ht="14.25" customHeight="1">
      <c r="L134" s="15"/>
      <c r="Q134" s="15"/>
    </row>
    <row r="135" ht="14.25" customHeight="1">
      <c r="L135" s="15"/>
      <c r="Q135" s="15"/>
    </row>
    <row r="136" ht="14.25" customHeight="1">
      <c r="L136" s="15"/>
      <c r="Q136" s="15"/>
    </row>
    <row r="137" ht="14.25" customHeight="1">
      <c r="L137" s="15"/>
      <c r="Q137" s="15"/>
    </row>
    <row r="138" ht="14.25" customHeight="1">
      <c r="L138" s="15"/>
      <c r="Q138" s="15"/>
    </row>
    <row r="139" ht="14.25" customHeight="1">
      <c r="L139" s="15"/>
      <c r="Q139" s="15"/>
    </row>
    <row r="140" ht="14.25" customHeight="1">
      <c r="L140" s="15"/>
      <c r="Q140" s="15"/>
    </row>
    <row r="141" ht="14.25" customHeight="1">
      <c r="L141" s="15"/>
      <c r="Q141" s="15"/>
    </row>
    <row r="142" ht="14.25" customHeight="1">
      <c r="L142" s="15"/>
      <c r="Q142" s="15"/>
    </row>
    <row r="143" ht="14.25" customHeight="1">
      <c r="L143" s="15"/>
      <c r="Q143" s="15"/>
    </row>
    <row r="144" ht="14.25" customHeight="1">
      <c r="L144" s="15"/>
      <c r="Q144" s="15"/>
    </row>
    <row r="145" ht="14.25" customHeight="1">
      <c r="L145" s="15"/>
      <c r="Q145" s="15"/>
    </row>
    <row r="146" ht="14.25" customHeight="1">
      <c r="L146" s="15"/>
      <c r="Q146" s="15"/>
    </row>
    <row r="147" ht="14.25" customHeight="1">
      <c r="L147" s="15"/>
      <c r="Q147" s="15"/>
    </row>
    <row r="148" ht="14.25" customHeight="1">
      <c r="L148" s="15"/>
      <c r="Q148" s="15"/>
    </row>
    <row r="149" ht="14.25" customHeight="1">
      <c r="L149" s="15"/>
      <c r="Q149" s="15"/>
    </row>
    <row r="150" ht="14.25" customHeight="1">
      <c r="L150" s="15"/>
      <c r="Q150" s="15"/>
    </row>
    <row r="151" ht="14.25" customHeight="1">
      <c r="L151" s="15"/>
      <c r="Q151" s="15"/>
    </row>
    <row r="152" ht="14.25" customHeight="1">
      <c r="L152" s="15"/>
      <c r="Q152" s="15"/>
    </row>
    <row r="153" ht="14.25" customHeight="1">
      <c r="L153" s="15"/>
      <c r="Q153" s="15"/>
    </row>
    <row r="154" ht="14.25" customHeight="1">
      <c r="L154" s="15"/>
      <c r="Q154" s="15"/>
    </row>
    <row r="155" ht="14.25" customHeight="1">
      <c r="L155" s="15"/>
      <c r="Q155" s="15"/>
    </row>
    <row r="156" ht="14.25" customHeight="1">
      <c r="L156" s="15"/>
      <c r="Q156" s="15"/>
    </row>
    <row r="157" ht="14.25" customHeight="1">
      <c r="L157" s="15"/>
      <c r="Q157" s="15"/>
    </row>
    <row r="158" ht="14.25" customHeight="1">
      <c r="L158" s="15"/>
      <c r="Q158" s="15"/>
    </row>
    <row r="159" ht="14.25" customHeight="1">
      <c r="L159" s="15"/>
      <c r="Q159" s="15"/>
    </row>
    <row r="160" ht="14.25" customHeight="1">
      <c r="L160" s="15"/>
      <c r="Q160" s="15"/>
    </row>
    <row r="161" ht="14.25" customHeight="1">
      <c r="L161" s="15"/>
      <c r="Q161" s="15"/>
    </row>
    <row r="162" ht="14.25" customHeight="1">
      <c r="L162" s="15"/>
      <c r="Q162" s="15"/>
    </row>
    <row r="163" ht="14.25" customHeight="1">
      <c r="L163" s="15"/>
      <c r="Q163" s="15"/>
    </row>
    <row r="164" ht="14.25" customHeight="1">
      <c r="L164" s="15"/>
      <c r="Q164" s="15"/>
    </row>
    <row r="165" ht="14.25" customHeight="1">
      <c r="L165" s="15"/>
      <c r="Q165" s="15"/>
    </row>
    <row r="166" ht="14.25" customHeight="1">
      <c r="L166" s="15"/>
      <c r="Q166" s="15"/>
    </row>
    <row r="167" ht="14.25" customHeight="1">
      <c r="L167" s="15"/>
      <c r="Q167" s="15"/>
    </row>
    <row r="168" ht="14.25" customHeight="1">
      <c r="L168" s="15"/>
      <c r="Q168" s="15"/>
    </row>
    <row r="169" ht="14.25" customHeight="1">
      <c r="L169" s="15"/>
      <c r="Q169" s="15"/>
    </row>
    <row r="170" ht="14.25" customHeight="1">
      <c r="L170" s="15"/>
      <c r="Q170" s="15"/>
    </row>
    <row r="171" ht="14.25" customHeight="1">
      <c r="L171" s="15"/>
      <c r="Q171" s="15"/>
    </row>
    <row r="172" ht="14.25" customHeight="1">
      <c r="L172" s="15"/>
      <c r="Q172" s="15"/>
    </row>
    <row r="173" ht="14.25" customHeight="1">
      <c r="L173" s="15"/>
      <c r="Q173" s="15"/>
    </row>
    <row r="174" ht="14.25" customHeight="1">
      <c r="L174" s="15"/>
      <c r="Q174" s="15"/>
    </row>
    <row r="175" ht="14.25" customHeight="1">
      <c r="L175" s="15"/>
      <c r="Q175" s="15"/>
    </row>
    <row r="176" ht="14.25" customHeight="1">
      <c r="L176" s="15"/>
      <c r="Q176" s="15"/>
    </row>
    <row r="177" ht="14.25" customHeight="1">
      <c r="L177" s="15"/>
      <c r="Q177" s="15"/>
    </row>
    <row r="178" ht="14.25" customHeight="1">
      <c r="L178" s="15"/>
      <c r="Q178" s="15"/>
    </row>
    <row r="179" ht="14.25" customHeight="1">
      <c r="L179" s="15"/>
      <c r="Q179" s="15"/>
    </row>
    <row r="180" ht="14.25" customHeight="1">
      <c r="L180" s="15"/>
      <c r="Q180" s="15"/>
    </row>
    <row r="181" ht="14.25" customHeight="1">
      <c r="L181" s="15"/>
      <c r="Q181" s="15"/>
    </row>
    <row r="182" ht="14.25" customHeight="1">
      <c r="L182" s="15"/>
      <c r="Q182" s="15"/>
    </row>
    <row r="183" ht="14.25" customHeight="1">
      <c r="L183" s="15"/>
      <c r="Q183" s="15"/>
    </row>
    <row r="184" ht="14.25" customHeight="1">
      <c r="L184" s="15"/>
      <c r="Q184" s="15"/>
    </row>
    <row r="185" ht="14.25" customHeight="1">
      <c r="L185" s="15"/>
      <c r="Q185" s="15"/>
    </row>
    <row r="186" ht="14.25" customHeight="1">
      <c r="L186" s="15"/>
      <c r="Q186" s="15"/>
    </row>
    <row r="187" ht="14.25" customHeight="1">
      <c r="L187" s="15"/>
      <c r="Q187" s="15"/>
    </row>
    <row r="188" ht="14.25" customHeight="1">
      <c r="L188" s="15"/>
      <c r="Q188" s="15"/>
    </row>
    <row r="189" ht="14.25" customHeight="1">
      <c r="L189" s="15"/>
      <c r="Q189" s="15"/>
    </row>
    <row r="190" ht="14.25" customHeight="1">
      <c r="L190" s="15"/>
      <c r="Q190" s="15"/>
    </row>
    <row r="191" ht="14.25" customHeight="1">
      <c r="L191" s="15"/>
      <c r="Q191" s="15"/>
    </row>
    <row r="192" ht="14.25" customHeight="1">
      <c r="L192" s="15"/>
      <c r="Q192" s="15"/>
    </row>
    <row r="193" ht="14.25" customHeight="1">
      <c r="L193" s="15"/>
      <c r="Q193" s="15"/>
    </row>
    <row r="194" ht="14.25" customHeight="1">
      <c r="L194" s="15"/>
      <c r="Q194" s="15"/>
    </row>
    <row r="195" ht="14.25" customHeight="1">
      <c r="L195" s="15"/>
      <c r="Q195" s="15"/>
    </row>
    <row r="196" ht="14.25" customHeight="1">
      <c r="L196" s="15"/>
      <c r="Q196" s="15"/>
    </row>
    <row r="197" ht="14.25" customHeight="1">
      <c r="L197" s="15"/>
      <c r="Q197" s="15"/>
    </row>
    <row r="198" ht="14.25" customHeight="1">
      <c r="L198" s="15"/>
      <c r="Q198" s="15"/>
    </row>
    <row r="199" ht="14.25" customHeight="1">
      <c r="L199" s="15"/>
      <c r="Q199" s="15"/>
    </row>
    <row r="200" ht="14.25" customHeight="1">
      <c r="L200" s="15"/>
      <c r="Q200" s="15"/>
    </row>
    <row r="201" ht="14.25" customHeight="1">
      <c r="L201" s="15"/>
      <c r="Q201" s="15"/>
    </row>
    <row r="202" ht="14.25" customHeight="1">
      <c r="L202" s="15"/>
      <c r="Q202" s="15"/>
    </row>
    <row r="203" ht="14.25" customHeight="1">
      <c r="L203" s="15"/>
      <c r="Q203" s="15"/>
    </row>
    <row r="204" ht="14.25" customHeight="1">
      <c r="L204" s="15"/>
      <c r="Q204" s="15"/>
    </row>
    <row r="205" ht="14.25" customHeight="1">
      <c r="L205" s="15"/>
      <c r="Q205" s="15"/>
    </row>
    <row r="206" ht="14.25" customHeight="1">
      <c r="L206" s="15"/>
      <c r="Q206" s="15"/>
    </row>
    <row r="207" ht="14.25" customHeight="1">
      <c r="L207" s="15"/>
      <c r="Q207" s="15"/>
    </row>
    <row r="208" ht="14.25" customHeight="1">
      <c r="L208" s="15"/>
      <c r="Q208" s="15"/>
    </row>
    <row r="209" ht="14.25" customHeight="1">
      <c r="L209" s="15"/>
      <c r="Q209" s="15"/>
    </row>
    <row r="210" ht="14.25" customHeight="1">
      <c r="L210" s="15"/>
      <c r="Q210" s="15"/>
    </row>
    <row r="211" ht="14.25" customHeight="1">
      <c r="L211" s="15"/>
      <c r="Q211" s="15"/>
    </row>
    <row r="212" ht="14.25" customHeight="1">
      <c r="L212" s="15"/>
      <c r="Q212" s="15"/>
    </row>
    <row r="213" ht="14.25" customHeight="1">
      <c r="L213" s="15"/>
      <c r="Q213" s="15"/>
    </row>
    <row r="214" ht="14.25" customHeight="1">
      <c r="L214" s="15"/>
      <c r="Q214" s="15"/>
    </row>
    <row r="215" ht="14.25" customHeight="1">
      <c r="L215" s="15"/>
      <c r="Q215" s="15"/>
    </row>
    <row r="216" ht="14.25" customHeight="1">
      <c r="L216" s="15"/>
      <c r="Q216" s="15"/>
    </row>
    <row r="217" ht="14.25" customHeight="1">
      <c r="L217" s="15"/>
      <c r="Q217" s="15"/>
    </row>
    <row r="218" ht="14.25" customHeight="1">
      <c r="L218" s="15"/>
      <c r="Q218" s="15"/>
    </row>
    <row r="219" ht="14.25" customHeight="1">
      <c r="L219" s="15"/>
      <c r="Q219" s="15"/>
    </row>
    <row r="220" ht="14.25" customHeight="1">
      <c r="L220" s="15"/>
      <c r="Q220" s="15"/>
    </row>
    <row r="221" ht="14.25" customHeight="1">
      <c r="L221" s="15"/>
      <c r="Q221" s="15"/>
    </row>
    <row r="222" ht="14.25" customHeight="1">
      <c r="L222" s="15"/>
      <c r="Q222" s="15"/>
    </row>
    <row r="223" ht="14.25" customHeight="1">
      <c r="L223" s="15"/>
      <c r="Q223" s="15"/>
    </row>
    <row r="224" ht="14.25" customHeight="1">
      <c r="L224" s="15"/>
      <c r="Q224" s="15"/>
    </row>
    <row r="225" ht="14.25" customHeight="1">
      <c r="L225" s="15"/>
      <c r="Q225" s="15"/>
    </row>
    <row r="226" ht="14.25" customHeight="1">
      <c r="L226" s="15"/>
      <c r="Q226" s="15"/>
    </row>
    <row r="227" ht="14.25" customHeight="1">
      <c r="L227" s="15"/>
      <c r="Q227" s="15"/>
    </row>
    <row r="228" ht="14.25" customHeight="1">
      <c r="L228" s="15"/>
      <c r="Q228" s="15"/>
    </row>
    <row r="229" ht="14.25" customHeight="1">
      <c r="L229" s="15"/>
      <c r="Q229" s="15"/>
    </row>
    <row r="230" ht="14.25" customHeight="1">
      <c r="L230" s="15"/>
      <c r="Q230" s="15"/>
    </row>
    <row r="231" ht="14.25" customHeight="1">
      <c r="L231" s="15"/>
      <c r="Q231" s="15"/>
    </row>
    <row r="232" ht="14.25" customHeight="1">
      <c r="L232" s="15"/>
      <c r="Q232" s="15"/>
    </row>
    <row r="233" ht="14.25" customHeight="1">
      <c r="L233" s="15"/>
      <c r="Q233" s="15"/>
    </row>
    <row r="234" ht="14.25" customHeight="1">
      <c r="L234" s="15"/>
      <c r="Q234" s="15"/>
    </row>
    <row r="235" ht="14.25" customHeight="1">
      <c r="L235" s="15"/>
      <c r="Q235" s="15"/>
    </row>
    <row r="236" ht="14.25" customHeight="1">
      <c r="L236" s="15"/>
      <c r="Q236" s="15"/>
    </row>
    <row r="237" ht="14.25" customHeight="1">
      <c r="L237" s="15"/>
      <c r="Q237" s="15"/>
    </row>
    <row r="238" ht="14.25" customHeight="1">
      <c r="L238" s="15"/>
      <c r="Q238" s="15"/>
    </row>
    <row r="239" ht="14.25" customHeight="1">
      <c r="L239" s="15"/>
      <c r="Q239" s="15"/>
    </row>
    <row r="240" ht="14.25" customHeight="1">
      <c r="L240" s="15"/>
      <c r="Q240" s="15"/>
    </row>
    <row r="241" ht="14.25" customHeight="1">
      <c r="L241" s="15"/>
      <c r="Q241" s="15"/>
    </row>
    <row r="242" ht="14.25" customHeight="1">
      <c r="L242" s="15"/>
      <c r="Q242" s="15"/>
    </row>
    <row r="243" ht="14.25" customHeight="1">
      <c r="L243" s="15"/>
      <c r="Q243" s="15"/>
    </row>
    <row r="244" ht="14.25" customHeight="1">
      <c r="L244" s="15"/>
      <c r="Q244" s="15"/>
    </row>
    <row r="245" ht="14.25" customHeight="1">
      <c r="L245" s="15"/>
      <c r="Q245" s="15"/>
    </row>
    <row r="246" ht="14.25" customHeight="1">
      <c r="L246" s="15"/>
      <c r="Q246" s="15"/>
    </row>
    <row r="247" ht="14.25" customHeight="1">
      <c r="L247" s="15"/>
      <c r="Q247" s="15"/>
    </row>
    <row r="248" ht="14.25" customHeight="1">
      <c r="L248" s="15"/>
      <c r="Q248" s="15"/>
    </row>
    <row r="249" ht="14.25" customHeight="1">
      <c r="L249" s="15"/>
      <c r="Q249" s="15"/>
    </row>
    <row r="250" ht="14.25" customHeight="1">
      <c r="L250" s="15"/>
      <c r="Q250" s="15"/>
    </row>
    <row r="251" ht="14.25" customHeight="1">
      <c r="L251" s="15"/>
      <c r="Q251" s="15"/>
    </row>
    <row r="252" ht="14.25" customHeight="1">
      <c r="L252" s="15"/>
      <c r="Q252" s="15"/>
    </row>
    <row r="253" ht="14.25" customHeight="1">
      <c r="L253" s="15"/>
      <c r="Q253" s="15"/>
    </row>
    <row r="254" ht="14.25" customHeight="1">
      <c r="L254" s="15"/>
      <c r="Q254" s="15"/>
    </row>
    <row r="255" ht="14.25" customHeight="1">
      <c r="L255" s="15"/>
      <c r="Q255" s="15"/>
    </row>
    <row r="256" ht="14.25" customHeight="1">
      <c r="L256" s="15"/>
      <c r="Q256" s="15"/>
    </row>
    <row r="257" ht="14.25" customHeight="1">
      <c r="L257" s="15"/>
      <c r="Q257" s="15"/>
    </row>
    <row r="258" ht="14.25" customHeight="1">
      <c r="L258" s="15"/>
      <c r="Q258" s="15"/>
    </row>
    <row r="259" ht="14.25" customHeight="1">
      <c r="L259" s="15"/>
      <c r="Q259" s="15"/>
    </row>
    <row r="260" ht="14.25" customHeight="1">
      <c r="L260" s="15"/>
      <c r="Q260" s="15"/>
    </row>
    <row r="261" ht="14.25" customHeight="1">
      <c r="L261" s="15"/>
      <c r="Q261" s="15"/>
    </row>
    <row r="262" ht="14.25" customHeight="1">
      <c r="L262" s="15"/>
      <c r="Q262" s="15"/>
    </row>
    <row r="263" ht="14.25" customHeight="1">
      <c r="L263" s="15"/>
      <c r="Q263" s="15"/>
    </row>
    <row r="264" ht="14.25" customHeight="1">
      <c r="L264" s="15"/>
      <c r="Q264" s="15"/>
    </row>
    <row r="265" ht="14.25" customHeight="1">
      <c r="L265" s="15"/>
      <c r="Q265" s="15"/>
    </row>
    <row r="266" ht="14.25" customHeight="1">
      <c r="L266" s="15"/>
      <c r="Q266" s="15"/>
    </row>
    <row r="267" ht="14.25" customHeight="1">
      <c r="L267" s="15"/>
      <c r="Q267" s="15"/>
    </row>
    <row r="268" ht="14.25" customHeight="1">
      <c r="L268" s="15"/>
      <c r="Q268" s="15"/>
    </row>
    <row r="269" ht="14.25" customHeight="1">
      <c r="L269" s="15"/>
      <c r="Q269" s="15"/>
    </row>
    <row r="270" ht="14.25" customHeight="1">
      <c r="L270" s="15"/>
      <c r="Q270" s="15"/>
    </row>
    <row r="271" ht="14.25" customHeight="1">
      <c r="L271" s="15"/>
      <c r="Q271" s="15"/>
    </row>
    <row r="272" ht="14.25" customHeight="1">
      <c r="L272" s="15"/>
      <c r="Q272" s="15"/>
    </row>
    <row r="273" ht="14.25" customHeight="1">
      <c r="L273" s="15"/>
      <c r="Q273" s="15"/>
    </row>
    <row r="274" ht="14.25" customHeight="1">
      <c r="L274" s="15"/>
      <c r="Q274" s="15"/>
    </row>
    <row r="275" ht="14.25" customHeight="1">
      <c r="L275" s="15"/>
      <c r="Q275" s="15"/>
    </row>
    <row r="276" ht="14.25" customHeight="1">
      <c r="L276" s="15"/>
      <c r="Q276" s="15"/>
    </row>
    <row r="277" ht="14.25" customHeight="1">
      <c r="L277" s="15"/>
      <c r="Q277" s="15"/>
    </row>
    <row r="278" ht="14.25" customHeight="1">
      <c r="L278" s="15"/>
      <c r="Q278" s="15"/>
    </row>
    <row r="279" ht="14.25" customHeight="1">
      <c r="L279" s="15"/>
      <c r="Q279" s="15"/>
    </row>
    <row r="280" ht="14.25" customHeight="1">
      <c r="L280" s="15"/>
      <c r="Q280" s="15"/>
    </row>
    <row r="281" ht="14.25" customHeight="1">
      <c r="L281" s="15"/>
      <c r="Q281" s="15"/>
    </row>
    <row r="282" ht="14.25" customHeight="1">
      <c r="L282" s="15"/>
      <c r="Q282" s="15"/>
    </row>
    <row r="283" ht="14.25" customHeight="1">
      <c r="L283" s="15"/>
      <c r="Q283" s="15"/>
    </row>
    <row r="284" ht="14.25" customHeight="1">
      <c r="L284" s="15"/>
      <c r="Q284" s="15"/>
    </row>
    <row r="285" ht="14.25" customHeight="1">
      <c r="L285" s="15"/>
      <c r="Q285" s="15"/>
    </row>
    <row r="286" ht="14.25" customHeight="1">
      <c r="L286" s="15"/>
      <c r="Q286" s="15"/>
    </row>
    <row r="287" ht="14.25" customHeight="1">
      <c r="L287" s="15"/>
      <c r="Q287" s="15"/>
    </row>
    <row r="288" ht="14.25" customHeight="1">
      <c r="L288" s="15"/>
      <c r="Q288" s="15"/>
    </row>
    <row r="289" ht="14.25" customHeight="1">
      <c r="L289" s="15"/>
      <c r="Q289" s="15"/>
    </row>
    <row r="290" ht="14.25" customHeight="1">
      <c r="L290" s="15"/>
      <c r="Q290" s="15"/>
    </row>
    <row r="291" ht="14.25" customHeight="1">
      <c r="L291" s="15"/>
      <c r="Q291" s="15"/>
    </row>
    <row r="292" ht="14.25" customHeight="1">
      <c r="L292" s="15"/>
      <c r="Q292" s="15"/>
    </row>
    <row r="293" ht="14.25" customHeight="1">
      <c r="L293" s="15"/>
      <c r="Q293" s="15"/>
    </row>
    <row r="294" ht="14.25" customHeight="1">
      <c r="L294" s="15"/>
      <c r="Q294" s="15"/>
    </row>
    <row r="295" ht="14.25" customHeight="1">
      <c r="L295" s="15"/>
      <c r="Q295" s="15"/>
    </row>
    <row r="296" ht="14.25" customHeight="1">
      <c r="L296" s="15"/>
      <c r="Q296" s="15"/>
    </row>
    <row r="297" ht="14.25" customHeight="1">
      <c r="L297" s="15"/>
      <c r="Q297" s="15"/>
    </row>
    <row r="298" ht="14.25" customHeight="1">
      <c r="L298" s="15"/>
      <c r="Q298" s="15"/>
    </row>
    <row r="299" ht="14.25" customHeight="1">
      <c r="L299" s="15"/>
      <c r="Q299" s="15"/>
    </row>
    <row r="300" ht="14.25" customHeight="1">
      <c r="L300" s="15"/>
      <c r="Q300" s="15"/>
    </row>
    <row r="301" ht="14.25" customHeight="1">
      <c r="L301" s="15"/>
      <c r="Q301" s="15"/>
    </row>
    <row r="302" ht="14.25" customHeight="1">
      <c r="L302" s="15"/>
      <c r="Q302" s="15"/>
    </row>
    <row r="303" ht="14.25" customHeight="1">
      <c r="L303" s="15"/>
      <c r="Q303" s="15"/>
    </row>
    <row r="304" ht="14.25" customHeight="1">
      <c r="L304" s="15"/>
      <c r="Q304" s="15"/>
    </row>
    <row r="305" ht="14.25" customHeight="1">
      <c r="L305" s="15"/>
      <c r="Q305" s="15"/>
    </row>
    <row r="306" ht="14.25" customHeight="1">
      <c r="L306" s="15"/>
      <c r="Q306" s="15"/>
    </row>
    <row r="307" ht="14.25" customHeight="1">
      <c r="L307" s="15"/>
      <c r="Q307" s="15"/>
    </row>
    <row r="308" ht="14.25" customHeight="1">
      <c r="L308" s="15"/>
      <c r="Q308" s="15"/>
    </row>
    <row r="309" ht="14.25" customHeight="1">
      <c r="L309" s="15"/>
      <c r="Q309" s="15"/>
    </row>
    <row r="310" ht="14.25" customHeight="1">
      <c r="L310" s="15"/>
      <c r="Q310" s="15"/>
    </row>
    <row r="311" ht="14.25" customHeight="1">
      <c r="L311" s="15"/>
      <c r="Q311" s="15"/>
    </row>
    <row r="312" ht="14.25" customHeight="1">
      <c r="L312" s="15"/>
      <c r="Q312" s="15"/>
    </row>
    <row r="313" ht="14.25" customHeight="1">
      <c r="L313" s="15"/>
      <c r="Q313" s="15"/>
    </row>
    <row r="314" ht="14.25" customHeight="1">
      <c r="L314" s="15"/>
      <c r="Q314" s="15"/>
    </row>
    <row r="315" ht="14.25" customHeight="1">
      <c r="L315" s="15"/>
      <c r="Q315" s="15"/>
    </row>
    <row r="316" ht="14.25" customHeight="1">
      <c r="L316" s="15"/>
      <c r="Q316" s="15"/>
    </row>
    <row r="317" ht="14.25" customHeight="1">
      <c r="L317" s="15"/>
      <c r="Q317" s="15"/>
    </row>
    <row r="318" ht="14.25" customHeight="1">
      <c r="L318" s="15"/>
      <c r="Q318" s="15"/>
    </row>
    <row r="319" ht="14.25" customHeight="1">
      <c r="L319" s="15"/>
      <c r="Q319" s="15"/>
    </row>
    <row r="320" ht="14.25" customHeight="1">
      <c r="L320" s="15"/>
      <c r="Q320" s="15"/>
    </row>
    <row r="321" ht="14.25" customHeight="1">
      <c r="L321" s="15"/>
      <c r="Q321" s="15"/>
    </row>
    <row r="322" ht="14.25" customHeight="1">
      <c r="L322" s="15"/>
      <c r="Q322" s="15"/>
    </row>
    <row r="323" ht="14.25" customHeight="1">
      <c r="L323" s="15"/>
      <c r="Q323" s="15"/>
    </row>
    <row r="324" ht="14.25" customHeight="1">
      <c r="L324" s="15"/>
      <c r="Q324" s="15"/>
    </row>
    <row r="325" ht="14.25" customHeight="1">
      <c r="L325" s="15"/>
      <c r="Q325" s="15"/>
    </row>
    <row r="326" ht="14.25" customHeight="1">
      <c r="L326" s="15"/>
      <c r="Q326" s="15"/>
    </row>
    <row r="327" ht="14.25" customHeight="1">
      <c r="L327" s="15"/>
      <c r="Q327" s="15"/>
    </row>
    <row r="328" ht="14.25" customHeight="1">
      <c r="L328" s="15"/>
      <c r="Q328" s="15"/>
    </row>
    <row r="329" ht="14.25" customHeight="1">
      <c r="L329" s="15"/>
      <c r="Q329" s="15"/>
    </row>
    <row r="330" ht="14.25" customHeight="1">
      <c r="L330" s="15"/>
      <c r="Q330" s="15"/>
    </row>
    <row r="331" ht="14.25" customHeight="1">
      <c r="L331" s="15"/>
      <c r="Q331" s="15"/>
    </row>
    <row r="332" ht="14.25" customHeight="1">
      <c r="L332" s="15"/>
      <c r="Q332" s="15"/>
    </row>
    <row r="333" ht="14.25" customHeight="1">
      <c r="L333" s="15"/>
      <c r="Q333" s="15"/>
    </row>
    <row r="334" ht="14.25" customHeight="1">
      <c r="L334" s="15"/>
      <c r="Q334" s="15"/>
    </row>
    <row r="335" ht="14.25" customHeight="1">
      <c r="L335" s="15"/>
      <c r="Q335" s="15"/>
    </row>
    <row r="336" ht="14.25" customHeight="1">
      <c r="L336" s="15"/>
      <c r="Q336" s="15"/>
    </row>
    <row r="337" ht="14.25" customHeight="1">
      <c r="L337" s="15"/>
      <c r="Q337" s="15"/>
    </row>
    <row r="338" ht="14.25" customHeight="1">
      <c r="L338" s="15"/>
      <c r="Q338" s="15"/>
    </row>
    <row r="339" ht="14.25" customHeight="1">
      <c r="L339" s="15"/>
      <c r="Q339" s="15"/>
    </row>
    <row r="340" ht="14.25" customHeight="1">
      <c r="L340" s="15"/>
      <c r="Q340" s="15"/>
    </row>
    <row r="341" ht="14.25" customHeight="1">
      <c r="L341" s="15"/>
      <c r="Q341" s="15"/>
    </row>
    <row r="342" ht="14.25" customHeight="1">
      <c r="L342" s="15"/>
      <c r="Q342" s="15"/>
    </row>
    <row r="343" ht="14.25" customHeight="1">
      <c r="L343" s="15"/>
      <c r="Q343" s="15"/>
    </row>
    <row r="344" ht="14.25" customHeight="1">
      <c r="L344" s="15"/>
      <c r="Q344" s="15"/>
    </row>
    <row r="345" ht="14.25" customHeight="1">
      <c r="L345" s="15"/>
      <c r="Q345" s="15"/>
    </row>
    <row r="346" ht="14.25" customHeight="1">
      <c r="L346" s="15"/>
      <c r="Q346" s="15"/>
    </row>
    <row r="347" ht="14.25" customHeight="1">
      <c r="L347" s="15"/>
      <c r="Q347" s="15"/>
    </row>
    <row r="348" ht="14.25" customHeight="1">
      <c r="L348" s="15"/>
      <c r="Q348" s="15"/>
    </row>
    <row r="349" ht="14.25" customHeight="1">
      <c r="L349" s="15"/>
      <c r="Q349" s="15"/>
    </row>
    <row r="350" ht="14.25" customHeight="1">
      <c r="L350" s="15"/>
      <c r="Q350" s="15"/>
    </row>
    <row r="351" ht="14.25" customHeight="1">
      <c r="L351" s="15"/>
      <c r="Q351" s="15"/>
    </row>
    <row r="352" ht="14.25" customHeight="1">
      <c r="L352" s="15"/>
      <c r="Q352" s="15"/>
    </row>
    <row r="353" ht="14.25" customHeight="1">
      <c r="L353" s="15"/>
      <c r="Q353" s="15"/>
    </row>
    <row r="354" ht="14.25" customHeight="1">
      <c r="L354" s="15"/>
      <c r="Q354" s="15"/>
    </row>
    <row r="355" ht="14.25" customHeight="1">
      <c r="L355" s="15"/>
      <c r="Q355" s="15"/>
    </row>
    <row r="356" ht="14.25" customHeight="1">
      <c r="L356" s="15"/>
      <c r="Q356" s="15"/>
    </row>
    <row r="357" ht="14.25" customHeight="1">
      <c r="L357" s="15"/>
      <c r="Q357" s="15"/>
    </row>
    <row r="358" ht="14.25" customHeight="1">
      <c r="L358" s="15"/>
      <c r="Q358" s="15"/>
    </row>
    <row r="359" ht="14.25" customHeight="1">
      <c r="L359" s="15"/>
      <c r="Q359" s="15"/>
    </row>
    <row r="360" ht="14.25" customHeight="1">
      <c r="L360" s="15"/>
      <c r="Q360" s="15"/>
    </row>
    <row r="361" ht="14.25" customHeight="1">
      <c r="L361" s="15"/>
      <c r="Q361" s="15"/>
    </row>
    <row r="362" ht="14.25" customHeight="1">
      <c r="L362" s="15"/>
      <c r="Q362" s="15"/>
    </row>
    <row r="363" ht="14.25" customHeight="1">
      <c r="L363" s="15"/>
      <c r="Q363" s="15"/>
    </row>
    <row r="364" ht="14.25" customHeight="1">
      <c r="L364" s="15"/>
      <c r="Q364" s="15"/>
    </row>
    <row r="365" ht="14.25" customHeight="1">
      <c r="L365" s="15"/>
      <c r="Q365" s="15"/>
    </row>
    <row r="366" ht="14.25" customHeight="1">
      <c r="L366" s="15"/>
      <c r="Q366" s="15"/>
    </row>
    <row r="367" ht="14.25" customHeight="1">
      <c r="L367" s="15"/>
      <c r="Q367" s="15"/>
    </row>
    <row r="368" ht="14.25" customHeight="1">
      <c r="L368" s="15"/>
      <c r="Q368" s="15"/>
    </row>
    <row r="369" ht="14.25" customHeight="1">
      <c r="L369" s="15"/>
      <c r="Q369" s="15"/>
    </row>
    <row r="370" ht="14.25" customHeight="1">
      <c r="L370" s="15"/>
      <c r="Q370" s="15"/>
    </row>
    <row r="371" ht="14.25" customHeight="1">
      <c r="L371" s="15"/>
      <c r="Q371" s="15"/>
    </row>
    <row r="372" ht="14.25" customHeight="1">
      <c r="L372" s="15"/>
      <c r="Q372" s="15"/>
    </row>
    <row r="373" ht="14.25" customHeight="1">
      <c r="L373" s="15"/>
      <c r="Q373" s="15"/>
    </row>
    <row r="374" ht="14.25" customHeight="1">
      <c r="L374" s="15"/>
      <c r="Q374" s="15"/>
    </row>
    <row r="375" ht="14.25" customHeight="1">
      <c r="L375" s="15"/>
      <c r="Q375" s="15"/>
    </row>
    <row r="376" ht="14.25" customHeight="1">
      <c r="L376" s="15"/>
      <c r="Q376" s="15"/>
    </row>
    <row r="377" ht="14.25" customHeight="1">
      <c r="L377" s="15"/>
      <c r="Q377" s="15"/>
    </row>
    <row r="378" ht="14.25" customHeight="1">
      <c r="L378" s="15"/>
      <c r="Q378" s="15"/>
    </row>
    <row r="379" ht="14.25" customHeight="1">
      <c r="L379" s="15"/>
      <c r="Q379" s="15"/>
    </row>
    <row r="380" ht="14.25" customHeight="1">
      <c r="L380" s="15"/>
      <c r="Q380" s="15"/>
    </row>
    <row r="381" ht="14.25" customHeight="1">
      <c r="L381" s="15"/>
      <c r="Q381" s="15"/>
    </row>
    <row r="382" ht="14.25" customHeight="1">
      <c r="L382" s="15"/>
      <c r="Q382" s="15"/>
    </row>
    <row r="383" ht="14.25" customHeight="1">
      <c r="L383" s="15"/>
      <c r="Q383" s="15"/>
    </row>
    <row r="384" ht="14.25" customHeight="1">
      <c r="L384" s="15"/>
      <c r="Q384" s="15"/>
    </row>
    <row r="385" ht="14.25" customHeight="1">
      <c r="L385" s="15"/>
      <c r="Q385" s="15"/>
    </row>
    <row r="386" ht="14.25" customHeight="1">
      <c r="L386" s="15"/>
      <c r="Q386" s="15"/>
    </row>
    <row r="387" ht="14.25" customHeight="1">
      <c r="L387" s="15"/>
      <c r="Q387" s="15"/>
    </row>
    <row r="388" ht="14.25" customHeight="1">
      <c r="L388" s="15"/>
      <c r="Q388" s="15"/>
    </row>
    <row r="389" ht="14.25" customHeight="1">
      <c r="L389" s="15"/>
      <c r="Q389" s="15"/>
    </row>
    <row r="390" ht="14.25" customHeight="1">
      <c r="L390" s="15"/>
      <c r="Q390" s="15"/>
    </row>
    <row r="391" ht="14.25" customHeight="1">
      <c r="L391" s="15"/>
      <c r="Q391" s="15"/>
    </row>
    <row r="392" ht="14.25" customHeight="1">
      <c r="L392" s="15"/>
      <c r="Q392" s="15"/>
    </row>
    <row r="393" ht="14.25" customHeight="1">
      <c r="L393" s="15"/>
      <c r="Q393" s="15"/>
    </row>
    <row r="394" ht="14.25" customHeight="1">
      <c r="L394" s="15"/>
      <c r="Q394" s="15"/>
    </row>
    <row r="395" ht="14.25" customHeight="1">
      <c r="L395" s="15"/>
      <c r="Q395" s="15"/>
    </row>
    <row r="396" ht="14.25" customHeight="1">
      <c r="L396" s="15"/>
      <c r="Q396" s="15"/>
    </row>
    <row r="397" ht="14.25" customHeight="1">
      <c r="L397" s="15"/>
      <c r="Q397" s="15"/>
    </row>
    <row r="398" ht="14.25" customHeight="1">
      <c r="L398" s="15"/>
      <c r="Q398" s="15"/>
    </row>
    <row r="399" ht="14.25" customHeight="1">
      <c r="L399" s="15"/>
      <c r="Q399" s="15"/>
    </row>
    <row r="400" ht="14.25" customHeight="1">
      <c r="L400" s="15"/>
      <c r="Q400" s="15"/>
    </row>
    <row r="401" ht="14.25" customHeight="1">
      <c r="L401" s="15"/>
      <c r="Q401" s="15"/>
    </row>
    <row r="402" ht="14.25" customHeight="1">
      <c r="L402" s="15"/>
      <c r="Q402" s="15"/>
    </row>
    <row r="403" ht="14.25" customHeight="1">
      <c r="L403" s="15"/>
      <c r="Q403" s="15"/>
    </row>
    <row r="404" ht="14.25" customHeight="1">
      <c r="L404" s="15"/>
      <c r="Q404" s="15"/>
    </row>
    <row r="405" ht="14.25" customHeight="1">
      <c r="L405" s="15"/>
      <c r="Q405" s="15"/>
    </row>
    <row r="406" ht="14.25" customHeight="1">
      <c r="L406" s="15"/>
      <c r="Q406" s="15"/>
    </row>
    <row r="407" ht="14.25" customHeight="1">
      <c r="L407" s="15"/>
      <c r="Q407" s="15"/>
    </row>
    <row r="408" ht="14.25" customHeight="1">
      <c r="L408" s="15"/>
      <c r="Q408" s="15"/>
    </row>
    <row r="409" ht="14.25" customHeight="1">
      <c r="L409" s="15"/>
      <c r="Q409" s="15"/>
    </row>
    <row r="410" ht="14.25" customHeight="1">
      <c r="L410" s="15"/>
      <c r="Q410" s="15"/>
    </row>
    <row r="411" ht="14.25" customHeight="1">
      <c r="L411" s="15"/>
      <c r="Q411" s="15"/>
    </row>
    <row r="412" ht="14.25" customHeight="1">
      <c r="L412" s="15"/>
      <c r="Q412" s="15"/>
    </row>
    <row r="413" ht="14.25" customHeight="1">
      <c r="L413" s="15"/>
      <c r="Q413" s="15"/>
    </row>
    <row r="414" ht="14.25" customHeight="1">
      <c r="L414" s="15"/>
      <c r="Q414" s="15"/>
    </row>
    <row r="415" ht="14.25" customHeight="1">
      <c r="L415" s="15"/>
      <c r="Q415" s="15"/>
    </row>
    <row r="416" ht="14.25" customHeight="1">
      <c r="L416" s="15"/>
      <c r="Q416" s="15"/>
    </row>
    <row r="417" ht="14.25" customHeight="1">
      <c r="L417" s="15"/>
      <c r="Q417" s="15"/>
    </row>
    <row r="418" ht="14.25" customHeight="1">
      <c r="L418" s="15"/>
      <c r="Q418" s="15"/>
    </row>
    <row r="419" ht="14.25" customHeight="1">
      <c r="L419" s="15"/>
      <c r="Q419" s="15"/>
    </row>
    <row r="420" ht="14.25" customHeight="1">
      <c r="L420" s="15"/>
      <c r="Q420" s="15"/>
    </row>
    <row r="421" ht="14.25" customHeight="1">
      <c r="L421" s="15"/>
      <c r="Q421" s="15"/>
    </row>
    <row r="422" ht="14.25" customHeight="1">
      <c r="L422" s="15"/>
      <c r="Q422" s="15"/>
    </row>
    <row r="423" ht="14.25" customHeight="1">
      <c r="L423" s="15"/>
      <c r="Q423" s="15"/>
    </row>
    <row r="424" ht="14.25" customHeight="1">
      <c r="L424" s="15"/>
      <c r="Q424" s="15"/>
    </row>
    <row r="425" ht="14.25" customHeight="1">
      <c r="L425" s="15"/>
      <c r="Q425" s="15"/>
    </row>
    <row r="426" ht="14.25" customHeight="1">
      <c r="L426" s="15"/>
      <c r="Q426" s="15"/>
    </row>
    <row r="427" ht="14.25" customHeight="1">
      <c r="L427" s="15"/>
      <c r="Q427" s="15"/>
    </row>
    <row r="428" ht="14.25" customHeight="1">
      <c r="L428" s="15"/>
      <c r="Q428" s="15"/>
    </row>
    <row r="429" ht="14.25" customHeight="1">
      <c r="L429" s="15"/>
      <c r="Q429" s="15"/>
    </row>
    <row r="430" ht="14.25" customHeight="1">
      <c r="L430" s="15"/>
      <c r="Q430" s="15"/>
    </row>
    <row r="431" ht="14.25" customHeight="1">
      <c r="L431" s="15"/>
      <c r="Q431" s="15"/>
    </row>
    <row r="432" ht="14.25" customHeight="1">
      <c r="L432" s="15"/>
      <c r="Q432" s="15"/>
    </row>
    <row r="433" ht="14.25" customHeight="1">
      <c r="L433" s="15"/>
      <c r="Q433" s="15"/>
    </row>
    <row r="434" ht="14.25" customHeight="1">
      <c r="L434" s="15"/>
      <c r="Q434" s="15"/>
    </row>
    <row r="435" ht="14.25" customHeight="1">
      <c r="L435" s="15"/>
      <c r="Q435" s="15"/>
    </row>
    <row r="436" ht="14.25" customHeight="1">
      <c r="L436" s="15"/>
      <c r="Q436" s="15"/>
    </row>
    <row r="437" ht="14.25" customHeight="1">
      <c r="L437" s="15"/>
      <c r="Q437" s="15"/>
    </row>
    <row r="438" ht="14.25" customHeight="1">
      <c r="L438" s="15"/>
      <c r="Q438" s="15"/>
    </row>
    <row r="439" ht="14.25" customHeight="1">
      <c r="L439" s="15"/>
      <c r="Q439" s="15"/>
    </row>
    <row r="440" ht="14.25" customHeight="1">
      <c r="L440" s="15"/>
      <c r="Q440" s="15"/>
    </row>
    <row r="441" ht="14.25" customHeight="1">
      <c r="L441" s="15"/>
      <c r="Q441" s="15"/>
    </row>
    <row r="442" ht="14.25" customHeight="1">
      <c r="L442" s="15"/>
      <c r="Q442" s="15"/>
    </row>
    <row r="443" ht="14.25" customHeight="1">
      <c r="L443" s="15"/>
      <c r="Q443" s="15"/>
    </row>
    <row r="444" ht="14.25" customHeight="1">
      <c r="L444" s="15"/>
      <c r="Q444" s="15"/>
    </row>
    <row r="445" ht="14.25" customHeight="1">
      <c r="L445" s="15"/>
      <c r="Q445" s="15"/>
    </row>
    <row r="446" ht="14.25" customHeight="1">
      <c r="L446" s="15"/>
      <c r="Q446" s="15"/>
    </row>
    <row r="447" ht="14.25" customHeight="1">
      <c r="L447" s="15"/>
      <c r="Q447" s="15"/>
    </row>
    <row r="448" ht="14.25" customHeight="1">
      <c r="L448" s="15"/>
      <c r="Q448" s="15"/>
    </row>
    <row r="449" ht="14.25" customHeight="1">
      <c r="L449" s="15"/>
      <c r="Q449" s="15"/>
    </row>
    <row r="450" ht="14.25" customHeight="1">
      <c r="L450" s="15"/>
      <c r="Q450" s="15"/>
    </row>
    <row r="451" ht="14.25" customHeight="1">
      <c r="L451" s="15"/>
      <c r="Q451" s="15"/>
    </row>
    <row r="452" ht="14.25" customHeight="1">
      <c r="L452" s="15"/>
      <c r="Q452" s="15"/>
    </row>
    <row r="453" ht="14.25" customHeight="1">
      <c r="L453" s="15"/>
      <c r="Q453" s="15"/>
    </row>
    <row r="454" ht="14.25" customHeight="1">
      <c r="L454" s="15"/>
      <c r="Q454" s="15"/>
    </row>
    <row r="455" ht="14.25" customHeight="1">
      <c r="L455" s="15"/>
      <c r="Q455" s="15"/>
    </row>
    <row r="456" ht="14.25" customHeight="1">
      <c r="L456" s="15"/>
      <c r="Q456" s="15"/>
    </row>
    <row r="457" ht="14.25" customHeight="1">
      <c r="L457" s="15"/>
      <c r="Q457" s="15"/>
    </row>
    <row r="458" ht="14.25" customHeight="1">
      <c r="L458" s="15"/>
      <c r="Q458" s="15"/>
    </row>
    <row r="459" ht="14.25" customHeight="1">
      <c r="L459" s="15"/>
      <c r="Q459" s="15"/>
    </row>
    <row r="460" ht="14.25" customHeight="1">
      <c r="L460" s="15"/>
      <c r="Q460" s="15"/>
    </row>
    <row r="461" ht="14.25" customHeight="1">
      <c r="L461" s="15"/>
      <c r="Q461" s="15"/>
    </row>
    <row r="462" ht="14.25" customHeight="1">
      <c r="L462" s="15"/>
      <c r="Q462" s="15"/>
    </row>
    <row r="463" ht="14.25" customHeight="1">
      <c r="L463" s="15"/>
      <c r="Q463" s="15"/>
    </row>
    <row r="464" ht="14.25" customHeight="1">
      <c r="L464" s="15"/>
      <c r="Q464" s="15"/>
    </row>
    <row r="465" ht="14.25" customHeight="1">
      <c r="L465" s="15"/>
      <c r="Q465" s="15"/>
    </row>
    <row r="466" ht="14.25" customHeight="1">
      <c r="L466" s="15"/>
      <c r="Q466" s="15"/>
    </row>
    <row r="467" ht="14.25" customHeight="1">
      <c r="L467" s="15"/>
      <c r="Q467" s="15"/>
    </row>
    <row r="468" ht="14.25" customHeight="1">
      <c r="L468" s="15"/>
      <c r="Q468" s="15"/>
    </row>
    <row r="469" ht="14.25" customHeight="1">
      <c r="L469" s="15"/>
      <c r="Q469" s="15"/>
    </row>
    <row r="470" ht="14.25" customHeight="1">
      <c r="L470" s="15"/>
      <c r="Q470" s="15"/>
    </row>
    <row r="471" ht="14.25" customHeight="1">
      <c r="L471" s="15"/>
      <c r="Q471" s="15"/>
    </row>
    <row r="472" ht="14.25" customHeight="1">
      <c r="L472" s="15"/>
      <c r="Q472" s="15"/>
    </row>
    <row r="473" ht="14.25" customHeight="1">
      <c r="L473" s="15"/>
      <c r="Q473" s="15"/>
    </row>
    <row r="474" ht="14.25" customHeight="1">
      <c r="L474" s="15"/>
      <c r="Q474" s="15"/>
    </row>
    <row r="475" ht="14.25" customHeight="1">
      <c r="L475" s="15"/>
      <c r="Q475" s="15"/>
    </row>
    <row r="476" ht="14.25" customHeight="1">
      <c r="L476" s="15"/>
      <c r="Q476" s="15"/>
    </row>
    <row r="477" ht="14.25" customHeight="1">
      <c r="L477" s="15"/>
      <c r="Q477" s="15"/>
    </row>
    <row r="478" ht="14.25" customHeight="1">
      <c r="L478" s="15"/>
      <c r="Q478" s="15"/>
    </row>
    <row r="479" ht="14.25" customHeight="1">
      <c r="L479" s="15"/>
      <c r="Q479" s="15"/>
    </row>
    <row r="480" ht="14.25" customHeight="1">
      <c r="L480" s="15"/>
      <c r="Q480" s="15"/>
    </row>
    <row r="481" ht="14.25" customHeight="1">
      <c r="L481" s="15"/>
      <c r="Q481" s="15"/>
    </row>
    <row r="482" ht="14.25" customHeight="1">
      <c r="L482" s="15"/>
      <c r="Q482" s="15"/>
    </row>
    <row r="483" ht="14.25" customHeight="1">
      <c r="L483" s="15"/>
      <c r="Q483" s="15"/>
    </row>
    <row r="484" ht="14.25" customHeight="1">
      <c r="L484" s="15"/>
      <c r="Q484" s="15"/>
    </row>
    <row r="485" ht="14.25" customHeight="1">
      <c r="L485" s="15"/>
      <c r="Q485" s="15"/>
    </row>
    <row r="486" ht="14.25" customHeight="1">
      <c r="L486" s="15"/>
      <c r="Q486" s="15"/>
    </row>
    <row r="487" ht="14.25" customHeight="1">
      <c r="L487" s="15"/>
      <c r="Q487" s="15"/>
    </row>
    <row r="488" ht="14.25" customHeight="1">
      <c r="L488" s="15"/>
      <c r="Q488" s="15"/>
    </row>
    <row r="489" ht="14.25" customHeight="1">
      <c r="L489" s="15"/>
      <c r="Q489" s="15"/>
    </row>
    <row r="490" ht="14.25" customHeight="1">
      <c r="L490" s="15"/>
      <c r="Q490" s="15"/>
    </row>
    <row r="491" ht="14.25" customHeight="1">
      <c r="L491" s="15"/>
      <c r="Q491" s="15"/>
    </row>
    <row r="492" ht="14.25" customHeight="1">
      <c r="L492" s="15"/>
      <c r="Q492" s="15"/>
    </row>
    <row r="493" ht="14.25" customHeight="1">
      <c r="L493" s="15"/>
      <c r="Q493" s="15"/>
    </row>
    <row r="494" ht="14.25" customHeight="1">
      <c r="L494" s="15"/>
      <c r="Q494" s="15"/>
    </row>
    <row r="495" ht="14.25" customHeight="1">
      <c r="L495" s="15"/>
      <c r="Q495" s="15"/>
    </row>
    <row r="496" ht="14.25" customHeight="1">
      <c r="L496" s="15"/>
      <c r="Q496" s="15"/>
    </row>
    <row r="497" ht="14.25" customHeight="1">
      <c r="L497" s="15"/>
      <c r="Q497" s="15"/>
    </row>
    <row r="498" ht="14.25" customHeight="1">
      <c r="L498" s="15"/>
      <c r="Q498" s="15"/>
    </row>
    <row r="499" ht="14.25" customHeight="1">
      <c r="L499" s="15"/>
      <c r="Q499" s="15"/>
    </row>
    <row r="500" ht="14.25" customHeight="1">
      <c r="L500" s="15"/>
      <c r="Q500" s="15"/>
    </row>
    <row r="501" ht="14.25" customHeight="1">
      <c r="L501" s="15"/>
      <c r="Q501" s="15"/>
    </row>
    <row r="502" ht="14.25" customHeight="1">
      <c r="L502" s="15"/>
      <c r="Q502" s="15"/>
    </row>
    <row r="503" ht="14.25" customHeight="1">
      <c r="L503" s="15"/>
      <c r="Q503" s="15"/>
    </row>
    <row r="504" ht="14.25" customHeight="1">
      <c r="L504" s="15"/>
      <c r="Q504" s="15"/>
    </row>
    <row r="505" ht="14.25" customHeight="1">
      <c r="L505" s="15"/>
      <c r="Q505" s="15"/>
    </row>
    <row r="506" ht="14.25" customHeight="1">
      <c r="L506" s="15"/>
      <c r="Q506" s="15"/>
    </row>
    <row r="507" ht="14.25" customHeight="1">
      <c r="L507" s="15"/>
      <c r="Q507" s="15"/>
    </row>
    <row r="508" ht="14.25" customHeight="1">
      <c r="L508" s="15"/>
      <c r="Q508" s="15"/>
    </row>
    <row r="509" ht="14.25" customHeight="1">
      <c r="L509" s="15"/>
      <c r="Q509" s="15"/>
    </row>
    <row r="510" ht="14.25" customHeight="1">
      <c r="L510" s="15"/>
      <c r="Q510" s="15"/>
    </row>
    <row r="511" ht="14.25" customHeight="1">
      <c r="L511" s="15"/>
      <c r="Q511" s="15"/>
    </row>
    <row r="512" ht="14.25" customHeight="1">
      <c r="L512" s="15"/>
      <c r="Q512" s="15"/>
    </row>
    <row r="513" ht="14.25" customHeight="1">
      <c r="L513" s="15"/>
      <c r="Q513" s="15"/>
    </row>
    <row r="514" ht="14.25" customHeight="1">
      <c r="L514" s="15"/>
      <c r="Q514" s="15"/>
    </row>
    <row r="515" ht="14.25" customHeight="1">
      <c r="L515" s="15"/>
      <c r="Q515" s="15"/>
    </row>
    <row r="516" ht="14.25" customHeight="1">
      <c r="L516" s="15"/>
      <c r="Q516" s="15"/>
    </row>
    <row r="517" ht="14.25" customHeight="1">
      <c r="L517" s="15"/>
      <c r="Q517" s="15"/>
    </row>
    <row r="518" ht="14.25" customHeight="1">
      <c r="L518" s="15"/>
      <c r="Q518" s="15"/>
    </row>
    <row r="519" ht="14.25" customHeight="1">
      <c r="L519" s="15"/>
      <c r="Q519" s="15"/>
    </row>
    <row r="520" ht="14.25" customHeight="1">
      <c r="L520" s="15"/>
      <c r="Q520" s="15"/>
    </row>
    <row r="521" ht="14.25" customHeight="1">
      <c r="L521" s="15"/>
      <c r="Q521" s="15"/>
    </row>
    <row r="522" ht="14.25" customHeight="1">
      <c r="L522" s="15"/>
      <c r="Q522" s="15"/>
    </row>
    <row r="523" ht="14.25" customHeight="1">
      <c r="L523" s="15"/>
      <c r="Q523" s="15"/>
    </row>
    <row r="524" ht="14.25" customHeight="1">
      <c r="L524" s="15"/>
      <c r="Q524" s="15"/>
    </row>
    <row r="525" ht="14.25" customHeight="1">
      <c r="L525" s="15"/>
      <c r="Q525" s="15"/>
    </row>
    <row r="526" ht="14.25" customHeight="1">
      <c r="L526" s="15"/>
      <c r="Q526" s="15"/>
    </row>
    <row r="527" ht="14.25" customHeight="1">
      <c r="L527" s="15"/>
      <c r="Q527" s="15"/>
    </row>
    <row r="528" ht="14.25" customHeight="1">
      <c r="L528" s="15"/>
      <c r="Q528" s="15"/>
    </row>
    <row r="529" ht="14.25" customHeight="1">
      <c r="L529" s="15"/>
      <c r="Q529" s="15"/>
    </row>
    <row r="530" ht="14.25" customHeight="1">
      <c r="L530" s="15"/>
      <c r="Q530" s="15"/>
    </row>
    <row r="531" ht="14.25" customHeight="1">
      <c r="L531" s="15"/>
      <c r="Q531" s="15"/>
    </row>
    <row r="532" ht="14.25" customHeight="1">
      <c r="L532" s="15"/>
      <c r="Q532" s="15"/>
    </row>
    <row r="533" ht="14.25" customHeight="1">
      <c r="L533" s="15"/>
      <c r="Q533" s="15"/>
    </row>
    <row r="534" ht="14.25" customHeight="1">
      <c r="L534" s="15"/>
      <c r="Q534" s="15"/>
    </row>
    <row r="535" ht="14.25" customHeight="1">
      <c r="L535" s="15"/>
      <c r="Q535" s="15"/>
    </row>
    <row r="536" ht="14.25" customHeight="1">
      <c r="L536" s="15"/>
      <c r="Q536" s="15"/>
    </row>
    <row r="537" ht="14.25" customHeight="1">
      <c r="L537" s="15"/>
      <c r="Q537" s="15"/>
    </row>
    <row r="538" ht="14.25" customHeight="1">
      <c r="L538" s="15"/>
      <c r="Q538" s="15"/>
    </row>
    <row r="539" ht="14.25" customHeight="1">
      <c r="L539" s="15"/>
      <c r="Q539" s="15"/>
    </row>
    <row r="540" ht="14.25" customHeight="1">
      <c r="L540" s="15"/>
      <c r="Q540" s="15"/>
    </row>
    <row r="541" ht="14.25" customHeight="1">
      <c r="L541" s="15"/>
      <c r="Q541" s="15"/>
    </row>
    <row r="542" ht="14.25" customHeight="1">
      <c r="L542" s="15"/>
      <c r="Q542" s="15"/>
    </row>
    <row r="543" ht="14.25" customHeight="1">
      <c r="L543" s="15"/>
      <c r="Q543" s="15"/>
    </row>
    <row r="544" ht="14.25" customHeight="1">
      <c r="L544" s="15"/>
      <c r="Q544" s="15"/>
    </row>
    <row r="545" ht="14.25" customHeight="1">
      <c r="L545" s="15"/>
      <c r="Q545" s="15"/>
    </row>
    <row r="546" ht="14.25" customHeight="1">
      <c r="L546" s="15"/>
      <c r="Q546" s="15"/>
    </row>
    <row r="547" ht="14.25" customHeight="1">
      <c r="L547" s="15"/>
      <c r="Q547" s="15"/>
    </row>
    <row r="548" ht="14.25" customHeight="1">
      <c r="L548" s="15"/>
      <c r="Q548" s="15"/>
    </row>
    <row r="549" ht="14.25" customHeight="1">
      <c r="L549" s="15"/>
      <c r="Q549" s="15"/>
    </row>
    <row r="550" ht="14.25" customHeight="1">
      <c r="L550" s="15"/>
      <c r="Q550" s="15"/>
    </row>
    <row r="551" ht="14.25" customHeight="1">
      <c r="L551" s="15"/>
      <c r="Q551" s="15"/>
    </row>
    <row r="552" ht="14.25" customHeight="1">
      <c r="L552" s="15"/>
      <c r="Q552" s="15"/>
    </row>
    <row r="553" ht="14.25" customHeight="1">
      <c r="L553" s="15"/>
      <c r="Q553" s="15"/>
    </row>
    <row r="554" ht="14.25" customHeight="1">
      <c r="L554" s="15"/>
      <c r="Q554" s="15"/>
    </row>
    <row r="555" ht="14.25" customHeight="1">
      <c r="L555" s="15"/>
      <c r="Q555" s="15"/>
    </row>
    <row r="556" ht="14.25" customHeight="1">
      <c r="L556" s="15"/>
      <c r="Q556" s="15"/>
    </row>
    <row r="557" ht="14.25" customHeight="1">
      <c r="L557" s="15"/>
      <c r="Q557" s="15"/>
    </row>
    <row r="558" ht="14.25" customHeight="1">
      <c r="L558" s="15"/>
      <c r="Q558" s="15"/>
    </row>
    <row r="559" ht="14.25" customHeight="1">
      <c r="L559" s="15"/>
      <c r="Q559" s="15"/>
    </row>
    <row r="560" ht="14.25" customHeight="1">
      <c r="L560" s="15"/>
      <c r="Q560" s="15"/>
    </row>
    <row r="561" ht="14.25" customHeight="1">
      <c r="L561" s="15"/>
      <c r="Q561" s="15"/>
    </row>
    <row r="562" ht="14.25" customHeight="1">
      <c r="L562" s="15"/>
      <c r="Q562" s="15"/>
    </row>
    <row r="563" ht="14.25" customHeight="1">
      <c r="L563" s="15"/>
      <c r="Q563" s="15"/>
    </row>
    <row r="564" ht="14.25" customHeight="1">
      <c r="L564" s="15"/>
      <c r="Q564" s="15"/>
    </row>
    <row r="565" ht="14.25" customHeight="1">
      <c r="L565" s="15"/>
      <c r="Q565" s="15"/>
    </row>
    <row r="566" ht="14.25" customHeight="1">
      <c r="L566" s="15"/>
      <c r="Q566" s="15"/>
    </row>
    <row r="567" ht="14.25" customHeight="1">
      <c r="L567" s="15"/>
      <c r="Q567" s="15"/>
    </row>
    <row r="568" ht="14.25" customHeight="1">
      <c r="L568" s="15"/>
      <c r="Q568" s="15"/>
    </row>
    <row r="569" ht="14.25" customHeight="1">
      <c r="L569" s="15"/>
      <c r="Q569" s="15"/>
    </row>
    <row r="570" ht="14.25" customHeight="1">
      <c r="L570" s="15"/>
      <c r="Q570" s="15"/>
    </row>
    <row r="571" ht="14.25" customHeight="1">
      <c r="L571" s="15"/>
      <c r="Q571" s="15"/>
    </row>
    <row r="572" ht="14.25" customHeight="1">
      <c r="L572" s="15"/>
      <c r="Q572" s="15"/>
    </row>
    <row r="573" ht="14.25" customHeight="1">
      <c r="L573" s="15"/>
      <c r="Q573" s="15"/>
    </row>
    <row r="574" ht="14.25" customHeight="1">
      <c r="L574" s="15"/>
      <c r="Q574" s="15"/>
    </row>
    <row r="575" ht="14.25" customHeight="1">
      <c r="L575" s="15"/>
      <c r="Q575" s="15"/>
    </row>
    <row r="576" ht="14.25" customHeight="1">
      <c r="L576" s="15"/>
      <c r="Q576" s="15"/>
    </row>
    <row r="577" ht="14.25" customHeight="1">
      <c r="L577" s="15"/>
      <c r="Q577" s="15"/>
    </row>
    <row r="578" ht="14.25" customHeight="1">
      <c r="L578" s="15"/>
      <c r="Q578" s="15"/>
    </row>
    <row r="579" ht="14.25" customHeight="1">
      <c r="L579" s="15"/>
      <c r="Q579" s="15"/>
    </row>
    <row r="580" ht="14.25" customHeight="1">
      <c r="L580" s="15"/>
      <c r="Q580" s="15"/>
    </row>
    <row r="581" ht="14.25" customHeight="1">
      <c r="L581" s="15"/>
      <c r="Q581" s="15"/>
    </row>
    <row r="582" ht="14.25" customHeight="1">
      <c r="L582" s="15"/>
      <c r="Q582" s="15"/>
    </row>
    <row r="583" ht="14.25" customHeight="1">
      <c r="L583" s="15"/>
      <c r="Q583" s="15"/>
    </row>
    <row r="584" ht="14.25" customHeight="1">
      <c r="L584" s="15"/>
      <c r="Q584" s="15"/>
    </row>
    <row r="585" ht="14.25" customHeight="1">
      <c r="L585" s="15"/>
      <c r="Q585" s="15"/>
    </row>
    <row r="586" ht="14.25" customHeight="1">
      <c r="L586" s="15"/>
      <c r="Q586" s="15"/>
    </row>
    <row r="587" ht="14.25" customHeight="1">
      <c r="L587" s="15"/>
      <c r="Q587" s="15"/>
    </row>
    <row r="588" ht="14.25" customHeight="1">
      <c r="L588" s="15"/>
      <c r="Q588" s="15"/>
    </row>
    <row r="589" ht="14.25" customHeight="1">
      <c r="L589" s="15"/>
      <c r="Q589" s="15"/>
    </row>
    <row r="590" ht="14.25" customHeight="1">
      <c r="L590" s="15"/>
      <c r="Q590" s="15"/>
    </row>
    <row r="591" ht="14.25" customHeight="1">
      <c r="L591" s="15"/>
      <c r="Q591" s="15"/>
    </row>
    <row r="592" ht="14.25" customHeight="1">
      <c r="L592" s="15"/>
      <c r="Q592" s="15"/>
    </row>
    <row r="593" ht="14.25" customHeight="1">
      <c r="L593" s="15"/>
      <c r="Q593" s="15"/>
    </row>
    <row r="594" ht="14.25" customHeight="1">
      <c r="L594" s="15"/>
      <c r="Q594" s="15"/>
    </row>
    <row r="595" ht="14.25" customHeight="1">
      <c r="L595" s="15"/>
      <c r="Q595" s="15"/>
    </row>
    <row r="596" ht="14.25" customHeight="1">
      <c r="L596" s="15"/>
      <c r="Q596" s="15"/>
    </row>
    <row r="597" ht="14.25" customHeight="1">
      <c r="L597" s="15"/>
      <c r="Q597" s="15"/>
    </row>
    <row r="598" ht="14.25" customHeight="1">
      <c r="L598" s="15"/>
      <c r="Q598" s="15"/>
    </row>
    <row r="599" ht="14.25" customHeight="1">
      <c r="L599" s="15"/>
      <c r="Q599" s="15"/>
    </row>
    <row r="600" ht="14.25" customHeight="1">
      <c r="L600" s="15"/>
      <c r="Q600" s="15"/>
    </row>
    <row r="601" ht="14.25" customHeight="1">
      <c r="L601" s="15"/>
      <c r="Q601" s="15"/>
    </row>
    <row r="602" ht="14.25" customHeight="1">
      <c r="L602" s="15"/>
      <c r="Q602" s="15"/>
    </row>
    <row r="603" ht="14.25" customHeight="1">
      <c r="L603" s="15"/>
      <c r="Q603" s="15"/>
    </row>
    <row r="604" ht="14.25" customHeight="1">
      <c r="L604" s="15"/>
      <c r="Q604" s="15"/>
    </row>
    <row r="605" ht="14.25" customHeight="1">
      <c r="L605" s="15"/>
      <c r="Q605" s="15"/>
    </row>
    <row r="606" ht="14.25" customHeight="1">
      <c r="L606" s="15"/>
      <c r="Q606" s="15"/>
    </row>
    <row r="607" ht="14.25" customHeight="1">
      <c r="L607" s="15"/>
      <c r="Q607" s="15"/>
    </row>
    <row r="608" ht="14.25" customHeight="1">
      <c r="L608" s="15"/>
      <c r="Q608" s="15"/>
    </row>
    <row r="609" ht="14.25" customHeight="1">
      <c r="L609" s="15"/>
      <c r="Q609" s="15"/>
    </row>
    <row r="610" ht="14.25" customHeight="1">
      <c r="L610" s="15"/>
      <c r="Q610" s="15"/>
    </row>
    <row r="611" ht="14.25" customHeight="1">
      <c r="L611" s="15"/>
      <c r="Q611" s="15"/>
    </row>
    <row r="612" ht="14.25" customHeight="1">
      <c r="L612" s="15"/>
      <c r="Q612" s="15"/>
    </row>
    <row r="613" ht="14.25" customHeight="1">
      <c r="L613" s="15"/>
      <c r="Q613" s="15"/>
    </row>
    <row r="614" ht="14.25" customHeight="1">
      <c r="L614" s="15"/>
      <c r="Q614" s="15"/>
    </row>
    <row r="615" ht="14.25" customHeight="1">
      <c r="L615" s="15"/>
      <c r="Q615" s="15"/>
    </row>
    <row r="616" ht="14.25" customHeight="1">
      <c r="L616" s="15"/>
      <c r="Q616" s="15"/>
    </row>
    <row r="617" ht="14.25" customHeight="1">
      <c r="L617" s="15"/>
      <c r="Q617" s="15"/>
    </row>
    <row r="618" ht="14.25" customHeight="1">
      <c r="L618" s="15"/>
      <c r="Q618" s="15"/>
    </row>
    <row r="619" ht="14.25" customHeight="1">
      <c r="L619" s="15"/>
      <c r="Q619" s="15"/>
    </row>
    <row r="620" ht="14.25" customHeight="1">
      <c r="L620" s="15"/>
      <c r="Q620" s="15"/>
    </row>
    <row r="621" ht="14.25" customHeight="1">
      <c r="L621" s="15"/>
      <c r="Q621" s="15"/>
    </row>
    <row r="622" ht="14.25" customHeight="1">
      <c r="L622" s="15"/>
      <c r="Q622" s="15"/>
    </row>
    <row r="623" ht="14.25" customHeight="1">
      <c r="L623" s="15"/>
      <c r="Q623" s="15"/>
    </row>
    <row r="624" ht="14.25" customHeight="1">
      <c r="L624" s="15"/>
      <c r="Q624" s="15"/>
    </row>
    <row r="625" ht="14.25" customHeight="1">
      <c r="L625" s="15"/>
      <c r="Q625" s="15"/>
    </row>
    <row r="626" ht="14.25" customHeight="1">
      <c r="L626" s="15"/>
      <c r="Q626" s="15"/>
    </row>
    <row r="627" ht="14.25" customHeight="1">
      <c r="L627" s="15"/>
      <c r="Q627" s="15"/>
    </row>
    <row r="628" ht="14.25" customHeight="1">
      <c r="L628" s="15"/>
      <c r="Q628" s="15"/>
    </row>
    <row r="629" ht="14.25" customHeight="1">
      <c r="L629" s="15"/>
      <c r="Q629" s="15"/>
    </row>
    <row r="630" ht="14.25" customHeight="1">
      <c r="L630" s="15"/>
      <c r="Q630" s="15"/>
    </row>
    <row r="631" ht="14.25" customHeight="1">
      <c r="L631" s="15"/>
      <c r="Q631" s="15"/>
    </row>
    <row r="632" ht="14.25" customHeight="1">
      <c r="L632" s="15"/>
      <c r="Q632" s="15"/>
    </row>
    <row r="633" ht="14.25" customHeight="1">
      <c r="L633" s="15"/>
      <c r="Q633" s="15"/>
    </row>
    <row r="634" ht="14.25" customHeight="1">
      <c r="L634" s="15"/>
      <c r="Q634" s="15"/>
    </row>
    <row r="635" ht="14.25" customHeight="1">
      <c r="L635" s="15"/>
      <c r="Q635" s="15"/>
    </row>
    <row r="636" ht="14.25" customHeight="1">
      <c r="L636" s="15"/>
      <c r="Q636" s="15"/>
    </row>
    <row r="637" ht="14.25" customHeight="1">
      <c r="L637" s="15"/>
      <c r="Q637" s="15"/>
    </row>
    <row r="638" ht="14.25" customHeight="1">
      <c r="L638" s="15"/>
      <c r="Q638" s="15"/>
    </row>
    <row r="639" ht="14.25" customHeight="1">
      <c r="L639" s="15"/>
      <c r="Q639" s="15"/>
    </row>
    <row r="640" ht="14.25" customHeight="1">
      <c r="L640" s="15"/>
      <c r="Q640" s="15"/>
    </row>
    <row r="641" ht="14.25" customHeight="1">
      <c r="L641" s="15"/>
      <c r="Q641" s="15"/>
    </row>
    <row r="642" ht="14.25" customHeight="1">
      <c r="L642" s="15"/>
      <c r="Q642" s="15"/>
    </row>
    <row r="643" ht="14.25" customHeight="1">
      <c r="L643" s="15"/>
      <c r="Q643" s="15"/>
    </row>
    <row r="644" ht="14.25" customHeight="1">
      <c r="L644" s="15"/>
      <c r="Q644" s="15"/>
    </row>
    <row r="645" ht="14.25" customHeight="1">
      <c r="L645" s="15"/>
      <c r="Q645" s="15"/>
    </row>
    <row r="646" ht="14.25" customHeight="1">
      <c r="L646" s="15"/>
      <c r="Q646" s="15"/>
    </row>
    <row r="647" ht="14.25" customHeight="1">
      <c r="L647" s="15"/>
      <c r="Q647" s="15"/>
    </row>
    <row r="648" ht="14.25" customHeight="1">
      <c r="L648" s="15"/>
      <c r="Q648" s="15"/>
    </row>
    <row r="649" ht="14.25" customHeight="1">
      <c r="L649" s="15"/>
      <c r="Q649" s="15"/>
    </row>
    <row r="650" ht="14.25" customHeight="1">
      <c r="L650" s="15"/>
      <c r="Q650" s="15"/>
    </row>
    <row r="651" ht="14.25" customHeight="1">
      <c r="L651" s="15"/>
      <c r="Q651" s="15"/>
    </row>
    <row r="652" ht="14.25" customHeight="1">
      <c r="L652" s="15"/>
      <c r="Q652" s="15"/>
    </row>
    <row r="653" ht="14.25" customHeight="1">
      <c r="L653" s="15"/>
      <c r="Q653" s="15"/>
    </row>
    <row r="654" ht="14.25" customHeight="1">
      <c r="L654" s="15"/>
      <c r="Q654" s="15"/>
    </row>
    <row r="655" ht="14.25" customHeight="1">
      <c r="L655" s="15"/>
      <c r="Q655" s="15"/>
    </row>
    <row r="656" ht="14.25" customHeight="1">
      <c r="L656" s="15"/>
      <c r="Q656" s="15"/>
    </row>
    <row r="657" ht="14.25" customHeight="1">
      <c r="L657" s="15"/>
      <c r="Q657" s="15"/>
    </row>
    <row r="658" ht="14.25" customHeight="1">
      <c r="L658" s="15"/>
      <c r="Q658" s="15"/>
    </row>
    <row r="659" ht="14.25" customHeight="1">
      <c r="L659" s="15"/>
      <c r="Q659" s="15"/>
    </row>
    <row r="660" ht="14.25" customHeight="1">
      <c r="L660" s="15"/>
      <c r="Q660" s="15"/>
    </row>
    <row r="661" ht="14.25" customHeight="1">
      <c r="L661" s="15"/>
      <c r="Q661" s="15"/>
    </row>
    <row r="662" ht="14.25" customHeight="1">
      <c r="L662" s="15"/>
      <c r="Q662" s="15"/>
    </row>
    <row r="663" ht="14.25" customHeight="1">
      <c r="L663" s="15"/>
      <c r="Q663" s="15"/>
    </row>
    <row r="664" ht="14.25" customHeight="1">
      <c r="L664" s="15"/>
      <c r="Q664" s="15"/>
    </row>
    <row r="665" ht="14.25" customHeight="1">
      <c r="L665" s="15"/>
      <c r="Q665" s="15"/>
    </row>
    <row r="666" ht="14.25" customHeight="1">
      <c r="L666" s="15"/>
      <c r="Q666" s="15"/>
    </row>
    <row r="667" ht="14.25" customHeight="1">
      <c r="L667" s="15"/>
      <c r="Q667" s="15"/>
    </row>
    <row r="668" ht="14.25" customHeight="1">
      <c r="L668" s="15"/>
      <c r="Q668" s="15"/>
    </row>
    <row r="669" ht="14.25" customHeight="1">
      <c r="L669" s="15"/>
      <c r="Q669" s="15"/>
    </row>
    <row r="670" ht="14.25" customHeight="1">
      <c r="L670" s="15"/>
      <c r="Q670" s="15"/>
    </row>
    <row r="671" ht="14.25" customHeight="1">
      <c r="L671" s="15"/>
      <c r="Q671" s="15"/>
    </row>
    <row r="672" ht="14.25" customHeight="1">
      <c r="L672" s="15"/>
      <c r="Q672" s="15"/>
    </row>
    <row r="673" ht="14.25" customHeight="1">
      <c r="L673" s="15"/>
      <c r="Q673" s="15"/>
    </row>
    <row r="674" ht="14.25" customHeight="1">
      <c r="L674" s="15"/>
      <c r="Q674" s="15"/>
    </row>
    <row r="675" ht="14.25" customHeight="1">
      <c r="L675" s="15"/>
      <c r="Q675" s="15"/>
    </row>
    <row r="676" ht="14.25" customHeight="1">
      <c r="L676" s="15"/>
      <c r="Q676" s="15"/>
    </row>
    <row r="677" ht="14.25" customHeight="1">
      <c r="L677" s="15"/>
      <c r="Q677" s="15"/>
    </row>
    <row r="678" ht="14.25" customHeight="1">
      <c r="L678" s="15"/>
      <c r="Q678" s="15"/>
    </row>
    <row r="679" ht="14.25" customHeight="1">
      <c r="L679" s="15"/>
      <c r="Q679" s="15"/>
    </row>
    <row r="680" ht="14.25" customHeight="1">
      <c r="L680" s="15"/>
      <c r="Q680" s="15"/>
    </row>
    <row r="681" ht="14.25" customHeight="1">
      <c r="L681" s="15"/>
      <c r="Q681" s="15"/>
    </row>
    <row r="682" ht="14.25" customHeight="1">
      <c r="L682" s="15"/>
      <c r="Q682" s="15"/>
    </row>
    <row r="683" ht="14.25" customHeight="1">
      <c r="L683" s="15"/>
      <c r="Q683" s="15"/>
    </row>
    <row r="684" ht="14.25" customHeight="1">
      <c r="L684" s="15"/>
      <c r="Q684" s="15"/>
    </row>
    <row r="685" ht="14.25" customHeight="1">
      <c r="L685" s="15"/>
      <c r="Q685" s="15"/>
    </row>
    <row r="686" ht="14.25" customHeight="1">
      <c r="L686" s="15"/>
      <c r="Q686" s="15"/>
    </row>
    <row r="687" ht="14.25" customHeight="1">
      <c r="L687" s="15"/>
      <c r="Q687" s="15"/>
    </row>
    <row r="688" ht="14.25" customHeight="1">
      <c r="L688" s="15"/>
      <c r="Q688" s="15"/>
    </row>
    <row r="689" ht="14.25" customHeight="1">
      <c r="L689" s="15"/>
      <c r="Q689" s="15"/>
    </row>
    <row r="690" ht="14.25" customHeight="1">
      <c r="L690" s="15"/>
      <c r="Q690" s="15"/>
    </row>
    <row r="691" ht="14.25" customHeight="1">
      <c r="L691" s="15"/>
      <c r="Q691" s="15"/>
    </row>
    <row r="692" ht="14.25" customHeight="1">
      <c r="L692" s="15"/>
      <c r="Q692" s="15"/>
    </row>
    <row r="693" ht="14.25" customHeight="1">
      <c r="L693" s="15"/>
      <c r="Q693" s="15"/>
    </row>
    <row r="694" ht="14.25" customHeight="1">
      <c r="L694" s="15"/>
      <c r="Q694" s="15"/>
    </row>
    <row r="695" ht="14.25" customHeight="1">
      <c r="L695" s="15"/>
      <c r="Q695" s="15"/>
    </row>
    <row r="696" ht="14.25" customHeight="1">
      <c r="L696" s="15"/>
      <c r="Q696" s="15"/>
    </row>
    <row r="697" ht="14.25" customHeight="1">
      <c r="L697" s="15"/>
      <c r="Q697" s="15"/>
    </row>
    <row r="698" ht="14.25" customHeight="1">
      <c r="L698" s="15"/>
      <c r="Q698" s="15"/>
    </row>
    <row r="699" ht="14.25" customHeight="1">
      <c r="L699" s="15"/>
      <c r="Q699" s="15"/>
    </row>
    <row r="700" ht="14.25" customHeight="1">
      <c r="L700" s="15"/>
      <c r="Q700" s="15"/>
    </row>
    <row r="701" ht="14.25" customHeight="1">
      <c r="L701" s="15"/>
      <c r="Q701" s="15"/>
    </row>
    <row r="702" ht="14.25" customHeight="1">
      <c r="L702" s="15"/>
      <c r="Q702" s="15"/>
    </row>
    <row r="703" ht="14.25" customHeight="1">
      <c r="L703" s="15"/>
      <c r="Q703" s="15"/>
    </row>
    <row r="704" ht="14.25" customHeight="1">
      <c r="L704" s="15"/>
      <c r="Q704" s="15"/>
    </row>
    <row r="705" ht="14.25" customHeight="1">
      <c r="L705" s="15"/>
      <c r="Q705" s="15"/>
    </row>
    <row r="706" ht="14.25" customHeight="1">
      <c r="L706" s="15"/>
      <c r="Q706" s="15"/>
    </row>
    <row r="707" ht="14.25" customHeight="1">
      <c r="L707" s="15"/>
      <c r="Q707" s="15"/>
    </row>
    <row r="708" ht="14.25" customHeight="1">
      <c r="L708" s="15"/>
      <c r="Q708" s="15"/>
    </row>
    <row r="709" ht="14.25" customHeight="1">
      <c r="L709" s="15"/>
      <c r="Q709" s="15"/>
    </row>
    <row r="710" ht="14.25" customHeight="1">
      <c r="L710" s="15"/>
      <c r="Q710" s="15"/>
    </row>
    <row r="711" ht="14.25" customHeight="1">
      <c r="L711" s="15"/>
      <c r="Q711" s="15"/>
    </row>
    <row r="712" ht="14.25" customHeight="1">
      <c r="L712" s="15"/>
      <c r="Q712" s="15"/>
    </row>
    <row r="713" ht="14.25" customHeight="1">
      <c r="L713" s="15"/>
      <c r="Q713" s="15"/>
    </row>
    <row r="714" ht="14.25" customHeight="1">
      <c r="L714" s="15"/>
      <c r="Q714" s="15"/>
    </row>
    <row r="715" ht="14.25" customHeight="1">
      <c r="L715" s="15"/>
      <c r="Q715" s="15"/>
    </row>
    <row r="716" ht="14.25" customHeight="1">
      <c r="L716" s="15"/>
      <c r="Q716" s="15"/>
    </row>
    <row r="717" ht="14.25" customHeight="1">
      <c r="L717" s="15"/>
      <c r="Q717" s="15"/>
    </row>
    <row r="718" ht="14.25" customHeight="1">
      <c r="L718" s="15"/>
      <c r="Q718" s="15"/>
    </row>
    <row r="719" ht="14.25" customHeight="1">
      <c r="L719" s="15"/>
      <c r="Q719" s="15"/>
    </row>
    <row r="720" ht="14.25" customHeight="1">
      <c r="L720" s="15"/>
      <c r="Q720" s="15"/>
    </row>
    <row r="721" ht="14.25" customHeight="1">
      <c r="L721" s="15"/>
      <c r="Q721" s="15"/>
    </row>
    <row r="722" ht="14.25" customHeight="1">
      <c r="L722" s="15"/>
      <c r="Q722" s="15"/>
    </row>
    <row r="723" ht="14.25" customHeight="1">
      <c r="L723" s="15"/>
      <c r="Q723" s="15"/>
    </row>
    <row r="724" ht="14.25" customHeight="1">
      <c r="L724" s="15"/>
      <c r="Q724" s="15"/>
    </row>
    <row r="725" ht="14.25" customHeight="1">
      <c r="L725" s="15"/>
      <c r="Q725" s="15"/>
    </row>
    <row r="726" ht="14.25" customHeight="1">
      <c r="L726" s="15"/>
      <c r="Q726" s="15"/>
    </row>
    <row r="727" ht="14.25" customHeight="1">
      <c r="L727" s="15"/>
      <c r="Q727" s="15"/>
    </row>
    <row r="728" ht="14.25" customHeight="1">
      <c r="L728" s="15"/>
      <c r="Q728" s="15"/>
    </row>
    <row r="729" ht="14.25" customHeight="1">
      <c r="L729" s="15"/>
      <c r="Q729" s="15"/>
    </row>
    <row r="730" ht="14.25" customHeight="1">
      <c r="L730" s="15"/>
      <c r="Q730" s="15"/>
    </row>
    <row r="731" ht="14.25" customHeight="1">
      <c r="L731" s="15"/>
      <c r="Q731" s="15"/>
    </row>
    <row r="732" ht="14.25" customHeight="1">
      <c r="L732" s="15"/>
      <c r="Q732" s="15"/>
    </row>
    <row r="733" ht="14.25" customHeight="1">
      <c r="L733" s="15"/>
      <c r="Q733" s="15"/>
    </row>
    <row r="734" ht="14.25" customHeight="1">
      <c r="L734" s="15"/>
      <c r="Q734" s="15"/>
    </row>
    <row r="735" ht="14.25" customHeight="1">
      <c r="L735" s="15"/>
      <c r="Q735" s="15"/>
    </row>
    <row r="736" ht="14.25" customHeight="1">
      <c r="L736" s="15"/>
      <c r="Q736" s="15"/>
    </row>
    <row r="737" ht="14.25" customHeight="1">
      <c r="L737" s="15"/>
      <c r="Q737" s="15"/>
    </row>
    <row r="738" ht="14.25" customHeight="1">
      <c r="L738" s="15"/>
      <c r="Q738" s="15"/>
    </row>
    <row r="739" ht="14.25" customHeight="1">
      <c r="L739" s="15"/>
      <c r="Q739" s="15"/>
    </row>
    <row r="740" ht="14.25" customHeight="1">
      <c r="L740" s="15"/>
      <c r="Q740" s="15"/>
    </row>
    <row r="741" ht="14.25" customHeight="1">
      <c r="L741" s="15"/>
      <c r="Q741" s="15"/>
    </row>
    <row r="742" ht="14.25" customHeight="1">
      <c r="L742" s="15"/>
      <c r="Q742" s="15"/>
    </row>
    <row r="743" ht="14.25" customHeight="1">
      <c r="L743" s="15"/>
      <c r="Q743" s="15"/>
    </row>
    <row r="744" ht="14.25" customHeight="1">
      <c r="L744" s="15"/>
      <c r="Q744" s="15"/>
    </row>
    <row r="745" ht="14.25" customHeight="1">
      <c r="L745" s="15"/>
      <c r="Q745" s="15"/>
    </row>
    <row r="746" ht="14.25" customHeight="1">
      <c r="L746" s="15"/>
      <c r="Q746" s="15"/>
    </row>
    <row r="747" ht="14.25" customHeight="1">
      <c r="L747" s="15"/>
      <c r="Q747" s="15"/>
    </row>
    <row r="748" ht="14.25" customHeight="1">
      <c r="L748" s="15"/>
      <c r="Q748" s="15"/>
    </row>
    <row r="749" ht="14.25" customHeight="1">
      <c r="L749" s="15"/>
      <c r="Q749" s="15"/>
    </row>
    <row r="750" ht="14.25" customHeight="1">
      <c r="L750" s="15"/>
      <c r="Q750" s="15"/>
    </row>
    <row r="751" ht="14.25" customHeight="1">
      <c r="L751" s="15"/>
      <c r="Q751" s="15"/>
    </row>
    <row r="752" ht="14.25" customHeight="1">
      <c r="L752" s="15"/>
      <c r="Q752" s="15"/>
    </row>
    <row r="753" ht="14.25" customHeight="1">
      <c r="L753" s="15"/>
      <c r="Q753" s="15"/>
    </row>
    <row r="754" ht="14.25" customHeight="1">
      <c r="L754" s="15"/>
      <c r="Q754" s="15"/>
    </row>
    <row r="755" ht="14.25" customHeight="1">
      <c r="L755" s="15"/>
      <c r="Q755" s="15"/>
    </row>
    <row r="756" ht="14.25" customHeight="1">
      <c r="L756" s="15"/>
      <c r="Q756" s="15"/>
    </row>
    <row r="757" ht="14.25" customHeight="1">
      <c r="L757" s="15"/>
      <c r="Q757" s="15"/>
    </row>
    <row r="758" ht="14.25" customHeight="1">
      <c r="L758" s="15"/>
      <c r="Q758" s="15"/>
    </row>
    <row r="759" ht="14.25" customHeight="1">
      <c r="L759" s="15"/>
      <c r="Q759" s="15"/>
    </row>
    <row r="760" ht="14.25" customHeight="1">
      <c r="L760" s="15"/>
      <c r="Q760" s="15"/>
    </row>
    <row r="761" ht="14.25" customHeight="1">
      <c r="L761" s="15"/>
      <c r="Q761" s="15"/>
    </row>
    <row r="762" ht="14.25" customHeight="1">
      <c r="L762" s="15"/>
      <c r="Q762" s="15"/>
    </row>
    <row r="763" ht="14.25" customHeight="1">
      <c r="L763" s="15"/>
      <c r="Q763" s="15"/>
    </row>
    <row r="764" ht="14.25" customHeight="1">
      <c r="L764" s="15"/>
      <c r="Q764" s="15"/>
    </row>
    <row r="765" ht="14.25" customHeight="1">
      <c r="L765" s="15"/>
      <c r="Q765" s="15"/>
    </row>
    <row r="766" ht="14.25" customHeight="1">
      <c r="L766" s="15"/>
      <c r="Q766" s="15"/>
    </row>
    <row r="767" ht="14.25" customHeight="1">
      <c r="L767" s="15"/>
      <c r="Q767" s="15"/>
    </row>
    <row r="768" ht="14.25" customHeight="1">
      <c r="L768" s="15"/>
      <c r="Q768" s="15"/>
    </row>
    <row r="769" ht="14.25" customHeight="1">
      <c r="L769" s="15"/>
      <c r="Q769" s="15"/>
    </row>
    <row r="770" ht="14.25" customHeight="1">
      <c r="L770" s="15"/>
      <c r="Q770" s="15"/>
    </row>
    <row r="771" ht="14.25" customHeight="1">
      <c r="L771" s="15"/>
      <c r="Q771" s="15"/>
    </row>
    <row r="772" ht="14.25" customHeight="1">
      <c r="L772" s="15"/>
      <c r="Q772" s="15"/>
    </row>
    <row r="773" ht="14.25" customHeight="1">
      <c r="L773" s="15"/>
      <c r="Q773" s="15"/>
    </row>
    <row r="774" ht="14.25" customHeight="1">
      <c r="L774" s="15"/>
      <c r="Q774" s="15"/>
    </row>
    <row r="775" ht="14.25" customHeight="1">
      <c r="L775" s="15"/>
      <c r="Q775" s="15"/>
    </row>
    <row r="776" ht="14.25" customHeight="1">
      <c r="L776" s="15"/>
      <c r="Q776" s="15"/>
    </row>
    <row r="777" ht="14.25" customHeight="1">
      <c r="L777" s="15"/>
      <c r="Q777" s="15"/>
    </row>
    <row r="778" ht="14.25" customHeight="1">
      <c r="L778" s="15"/>
      <c r="Q778" s="15"/>
    </row>
    <row r="779" ht="14.25" customHeight="1">
      <c r="L779" s="15"/>
      <c r="Q779" s="15"/>
    </row>
    <row r="780" ht="14.25" customHeight="1">
      <c r="L780" s="15"/>
      <c r="Q780" s="15"/>
    </row>
    <row r="781" ht="14.25" customHeight="1">
      <c r="L781" s="15"/>
      <c r="Q781" s="15"/>
    </row>
    <row r="782" ht="14.25" customHeight="1">
      <c r="L782" s="15"/>
      <c r="Q782" s="15"/>
    </row>
    <row r="783" ht="14.25" customHeight="1">
      <c r="L783" s="15"/>
      <c r="Q783" s="15"/>
    </row>
    <row r="784" ht="14.25" customHeight="1">
      <c r="L784" s="15"/>
      <c r="Q784" s="15"/>
    </row>
    <row r="785" ht="14.25" customHeight="1">
      <c r="L785" s="15"/>
      <c r="Q785" s="15"/>
    </row>
    <row r="786" ht="14.25" customHeight="1">
      <c r="L786" s="15"/>
      <c r="Q786" s="15"/>
    </row>
    <row r="787" ht="14.25" customHeight="1">
      <c r="L787" s="15"/>
      <c r="Q787" s="15"/>
    </row>
    <row r="788" ht="14.25" customHeight="1">
      <c r="L788" s="15"/>
      <c r="Q788" s="15"/>
    </row>
    <row r="789" ht="14.25" customHeight="1">
      <c r="L789" s="15"/>
      <c r="Q789" s="15"/>
    </row>
    <row r="790" ht="14.25" customHeight="1">
      <c r="L790" s="15"/>
      <c r="Q790" s="15"/>
    </row>
    <row r="791" ht="14.25" customHeight="1">
      <c r="L791" s="15"/>
      <c r="Q791" s="15"/>
    </row>
    <row r="792" ht="14.25" customHeight="1">
      <c r="L792" s="15"/>
      <c r="Q792" s="15"/>
    </row>
    <row r="793" ht="14.25" customHeight="1">
      <c r="L793" s="15"/>
      <c r="Q793" s="15"/>
    </row>
    <row r="794" ht="14.25" customHeight="1">
      <c r="L794" s="15"/>
      <c r="Q794" s="15"/>
    </row>
    <row r="795" ht="14.25" customHeight="1">
      <c r="L795" s="15"/>
      <c r="Q795" s="15"/>
    </row>
    <row r="796" ht="14.25" customHeight="1">
      <c r="L796" s="15"/>
      <c r="Q796" s="15"/>
    </row>
    <row r="797" ht="14.25" customHeight="1">
      <c r="L797" s="15"/>
      <c r="Q797" s="15"/>
    </row>
    <row r="798" ht="14.25" customHeight="1">
      <c r="L798" s="15"/>
      <c r="Q798" s="15"/>
    </row>
    <row r="799" ht="14.25" customHeight="1">
      <c r="L799" s="15"/>
      <c r="Q799" s="15"/>
    </row>
    <row r="800" ht="14.25" customHeight="1">
      <c r="L800" s="15"/>
      <c r="Q800" s="15"/>
    </row>
    <row r="801" ht="14.25" customHeight="1">
      <c r="L801" s="15"/>
      <c r="Q801" s="15"/>
    </row>
    <row r="802" ht="14.25" customHeight="1">
      <c r="L802" s="15"/>
      <c r="Q802" s="15"/>
    </row>
    <row r="803" ht="14.25" customHeight="1">
      <c r="L803" s="15"/>
      <c r="Q803" s="15"/>
    </row>
    <row r="804" ht="14.25" customHeight="1">
      <c r="L804" s="15"/>
      <c r="Q804" s="15"/>
    </row>
    <row r="805" ht="14.25" customHeight="1">
      <c r="L805" s="15"/>
      <c r="Q805" s="15"/>
    </row>
    <row r="806" ht="14.25" customHeight="1">
      <c r="L806" s="15"/>
      <c r="Q806" s="15"/>
    </row>
    <row r="807" ht="14.25" customHeight="1">
      <c r="L807" s="15"/>
      <c r="Q807" s="15"/>
    </row>
    <row r="808" ht="14.25" customHeight="1">
      <c r="L808" s="15"/>
      <c r="Q808" s="15"/>
    </row>
    <row r="809" ht="14.25" customHeight="1">
      <c r="L809" s="15"/>
      <c r="Q809" s="15"/>
    </row>
    <row r="810" ht="14.25" customHeight="1">
      <c r="L810" s="15"/>
      <c r="Q810" s="15"/>
    </row>
    <row r="811" ht="14.25" customHeight="1">
      <c r="L811" s="15"/>
      <c r="Q811" s="15"/>
    </row>
    <row r="812" ht="14.25" customHeight="1">
      <c r="L812" s="15"/>
      <c r="Q812" s="15"/>
    </row>
    <row r="813" ht="14.25" customHeight="1">
      <c r="L813" s="15"/>
      <c r="Q813" s="15"/>
    </row>
    <row r="814" ht="14.25" customHeight="1">
      <c r="L814" s="15"/>
      <c r="Q814" s="15"/>
    </row>
    <row r="815" ht="14.25" customHeight="1">
      <c r="L815" s="15"/>
      <c r="Q815" s="15"/>
    </row>
    <row r="816" ht="14.25" customHeight="1">
      <c r="L816" s="15"/>
      <c r="Q816" s="15"/>
    </row>
    <row r="817" ht="14.25" customHeight="1">
      <c r="L817" s="15"/>
      <c r="Q817" s="15"/>
    </row>
    <row r="818" ht="14.25" customHeight="1">
      <c r="L818" s="15"/>
      <c r="Q818" s="15"/>
    </row>
    <row r="819" ht="14.25" customHeight="1">
      <c r="L819" s="15"/>
      <c r="Q819" s="15"/>
    </row>
    <row r="820" ht="14.25" customHeight="1">
      <c r="L820" s="15"/>
      <c r="Q820" s="15"/>
    </row>
    <row r="821" ht="14.25" customHeight="1">
      <c r="L821" s="15"/>
      <c r="Q821" s="15"/>
    </row>
    <row r="822" ht="14.25" customHeight="1">
      <c r="L822" s="15"/>
      <c r="Q822" s="15"/>
    </row>
    <row r="823" ht="14.25" customHeight="1">
      <c r="L823" s="15"/>
      <c r="Q823" s="15"/>
    </row>
    <row r="824" ht="14.25" customHeight="1">
      <c r="L824" s="15"/>
      <c r="Q824" s="15"/>
    </row>
    <row r="825" ht="14.25" customHeight="1">
      <c r="L825" s="15"/>
      <c r="Q825" s="15"/>
    </row>
    <row r="826" ht="14.25" customHeight="1">
      <c r="L826" s="15"/>
      <c r="Q826" s="15"/>
    </row>
    <row r="827" ht="14.25" customHeight="1">
      <c r="L827" s="15"/>
      <c r="Q827" s="15"/>
    </row>
    <row r="828" ht="14.25" customHeight="1">
      <c r="L828" s="15"/>
      <c r="Q828" s="15"/>
    </row>
    <row r="829" ht="14.25" customHeight="1">
      <c r="L829" s="15"/>
      <c r="Q829" s="15"/>
    </row>
    <row r="830" ht="14.25" customHeight="1">
      <c r="L830" s="15"/>
      <c r="Q830" s="15"/>
    </row>
    <row r="831" ht="14.25" customHeight="1">
      <c r="L831" s="15"/>
      <c r="Q831" s="15"/>
    </row>
    <row r="832" ht="14.25" customHeight="1">
      <c r="L832" s="15"/>
      <c r="Q832" s="15"/>
    </row>
    <row r="833" ht="14.25" customHeight="1">
      <c r="L833" s="15"/>
      <c r="Q833" s="15"/>
    </row>
    <row r="834" ht="14.25" customHeight="1">
      <c r="L834" s="15"/>
      <c r="Q834" s="15"/>
    </row>
    <row r="835" ht="14.25" customHeight="1">
      <c r="L835" s="15"/>
      <c r="Q835" s="15"/>
    </row>
    <row r="836" ht="14.25" customHeight="1">
      <c r="L836" s="15"/>
      <c r="Q836" s="15"/>
    </row>
    <row r="837" ht="14.25" customHeight="1">
      <c r="L837" s="15"/>
      <c r="Q837" s="15"/>
    </row>
    <row r="838" ht="14.25" customHeight="1">
      <c r="L838" s="15"/>
      <c r="Q838" s="15"/>
    </row>
    <row r="839" ht="14.25" customHeight="1">
      <c r="L839" s="15"/>
      <c r="Q839" s="15"/>
    </row>
    <row r="840" ht="14.25" customHeight="1">
      <c r="L840" s="15"/>
      <c r="Q840" s="15"/>
    </row>
    <row r="841" ht="14.25" customHeight="1">
      <c r="L841" s="15"/>
      <c r="Q841" s="15"/>
    </row>
    <row r="842" ht="14.25" customHeight="1">
      <c r="L842" s="15"/>
      <c r="Q842" s="15"/>
    </row>
    <row r="843" ht="14.25" customHeight="1">
      <c r="L843" s="15"/>
      <c r="Q843" s="15"/>
    </row>
    <row r="844" ht="14.25" customHeight="1">
      <c r="L844" s="15"/>
      <c r="Q844" s="15"/>
    </row>
    <row r="845" ht="14.25" customHeight="1">
      <c r="L845" s="15"/>
      <c r="Q845" s="15"/>
    </row>
    <row r="846" ht="14.25" customHeight="1">
      <c r="L846" s="15"/>
      <c r="Q846" s="15"/>
    </row>
    <row r="847" ht="14.25" customHeight="1">
      <c r="L847" s="15"/>
      <c r="Q847" s="15"/>
    </row>
    <row r="848" ht="14.25" customHeight="1">
      <c r="L848" s="15"/>
      <c r="Q848" s="15"/>
    </row>
    <row r="849" ht="14.25" customHeight="1">
      <c r="L849" s="15"/>
      <c r="Q849" s="15"/>
    </row>
    <row r="850" ht="14.25" customHeight="1">
      <c r="L850" s="15"/>
      <c r="Q850" s="15"/>
    </row>
    <row r="851" ht="14.25" customHeight="1">
      <c r="L851" s="15"/>
      <c r="Q851" s="15"/>
    </row>
    <row r="852" ht="14.25" customHeight="1">
      <c r="L852" s="15"/>
      <c r="Q852" s="15"/>
    </row>
    <row r="853" ht="14.25" customHeight="1">
      <c r="L853" s="15"/>
      <c r="Q853" s="15"/>
    </row>
    <row r="854" ht="14.25" customHeight="1">
      <c r="L854" s="15"/>
      <c r="Q854" s="15"/>
    </row>
    <row r="855" ht="14.25" customHeight="1">
      <c r="L855" s="15"/>
      <c r="Q855" s="15"/>
    </row>
    <row r="856" ht="14.25" customHeight="1">
      <c r="L856" s="15"/>
      <c r="Q856" s="15"/>
    </row>
    <row r="857" ht="14.25" customHeight="1">
      <c r="L857" s="15"/>
      <c r="Q857" s="15"/>
    </row>
    <row r="858" ht="14.25" customHeight="1">
      <c r="L858" s="15"/>
      <c r="Q858" s="15"/>
    </row>
    <row r="859" ht="14.25" customHeight="1">
      <c r="L859" s="15"/>
      <c r="Q859" s="15"/>
    </row>
    <row r="860" ht="14.25" customHeight="1">
      <c r="L860" s="15"/>
      <c r="Q860" s="15"/>
    </row>
    <row r="861" ht="14.25" customHeight="1">
      <c r="L861" s="15"/>
      <c r="Q861" s="15"/>
    </row>
    <row r="862" ht="14.25" customHeight="1">
      <c r="L862" s="15"/>
      <c r="Q862" s="15"/>
    </row>
    <row r="863" ht="14.25" customHeight="1">
      <c r="L863" s="15"/>
      <c r="Q863" s="15"/>
    </row>
    <row r="864" ht="14.25" customHeight="1">
      <c r="L864" s="15"/>
      <c r="Q864" s="15"/>
    </row>
    <row r="865" ht="14.25" customHeight="1">
      <c r="L865" s="15"/>
      <c r="Q865" s="15"/>
    </row>
    <row r="866" ht="14.25" customHeight="1">
      <c r="L866" s="15"/>
      <c r="Q866" s="15"/>
    </row>
    <row r="867" ht="14.25" customHeight="1">
      <c r="L867" s="15"/>
      <c r="Q867" s="15"/>
    </row>
    <row r="868" ht="14.25" customHeight="1">
      <c r="L868" s="15"/>
      <c r="Q868" s="15"/>
    </row>
    <row r="869" ht="14.25" customHeight="1">
      <c r="L869" s="15"/>
      <c r="Q869" s="15"/>
    </row>
    <row r="870" ht="14.25" customHeight="1">
      <c r="L870" s="15"/>
      <c r="Q870" s="15"/>
    </row>
    <row r="871" ht="14.25" customHeight="1">
      <c r="L871" s="15"/>
      <c r="Q871" s="15"/>
    </row>
    <row r="872" ht="14.25" customHeight="1">
      <c r="L872" s="15"/>
      <c r="Q872" s="15"/>
    </row>
    <row r="873" ht="14.25" customHeight="1">
      <c r="L873" s="15"/>
      <c r="Q873" s="15"/>
    </row>
    <row r="874" ht="14.25" customHeight="1">
      <c r="L874" s="15"/>
      <c r="Q874" s="15"/>
    </row>
    <row r="875" ht="14.25" customHeight="1">
      <c r="L875" s="15"/>
      <c r="Q875" s="15"/>
    </row>
    <row r="876" ht="14.25" customHeight="1">
      <c r="L876" s="15"/>
      <c r="Q876" s="15"/>
    </row>
    <row r="877" ht="14.25" customHeight="1">
      <c r="L877" s="15"/>
      <c r="Q877" s="15"/>
    </row>
    <row r="878" ht="14.25" customHeight="1">
      <c r="L878" s="15"/>
      <c r="Q878" s="15"/>
    </row>
    <row r="879" ht="14.25" customHeight="1">
      <c r="L879" s="15"/>
      <c r="Q879" s="15"/>
    </row>
    <row r="880" ht="14.25" customHeight="1">
      <c r="L880" s="15"/>
      <c r="Q880" s="15"/>
    </row>
    <row r="881" ht="14.25" customHeight="1">
      <c r="L881" s="15"/>
      <c r="Q881" s="15"/>
    </row>
    <row r="882" ht="14.25" customHeight="1">
      <c r="L882" s="15"/>
      <c r="Q882" s="15"/>
    </row>
    <row r="883" ht="14.25" customHeight="1">
      <c r="L883" s="15"/>
      <c r="Q883" s="15"/>
    </row>
    <row r="884" ht="14.25" customHeight="1">
      <c r="L884" s="15"/>
      <c r="Q884" s="15"/>
    </row>
    <row r="885" ht="14.25" customHeight="1">
      <c r="L885" s="15"/>
      <c r="Q885" s="15"/>
    </row>
    <row r="886" ht="14.25" customHeight="1">
      <c r="L886" s="15"/>
      <c r="Q886" s="15"/>
    </row>
    <row r="887" ht="14.25" customHeight="1">
      <c r="L887" s="15"/>
      <c r="Q887" s="15"/>
    </row>
    <row r="888" ht="14.25" customHeight="1">
      <c r="L888" s="15"/>
      <c r="Q888" s="15"/>
    </row>
    <row r="889" ht="14.25" customHeight="1">
      <c r="L889" s="15"/>
      <c r="Q889" s="15"/>
    </row>
    <row r="890" ht="14.25" customHeight="1">
      <c r="L890" s="15"/>
      <c r="Q890" s="15"/>
    </row>
    <row r="891" ht="14.25" customHeight="1">
      <c r="L891" s="15"/>
      <c r="Q891" s="15"/>
    </row>
    <row r="892" ht="14.25" customHeight="1">
      <c r="L892" s="15"/>
      <c r="Q892" s="15"/>
    </row>
    <row r="893" ht="14.25" customHeight="1">
      <c r="L893" s="15"/>
      <c r="Q893" s="15"/>
    </row>
    <row r="894" ht="14.25" customHeight="1">
      <c r="L894" s="15"/>
      <c r="Q894" s="15"/>
    </row>
    <row r="895" ht="14.25" customHeight="1">
      <c r="L895" s="15"/>
      <c r="Q895" s="15"/>
    </row>
    <row r="896" ht="14.25" customHeight="1">
      <c r="L896" s="15"/>
      <c r="Q896" s="15"/>
    </row>
    <row r="897" ht="14.25" customHeight="1">
      <c r="L897" s="15"/>
      <c r="Q897" s="15"/>
    </row>
    <row r="898" ht="14.25" customHeight="1">
      <c r="L898" s="15"/>
      <c r="Q898" s="15"/>
    </row>
    <row r="899" ht="14.25" customHeight="1">
      <c r="L899" s="15"/>
      <c r="Q899" s="15"/>
    </row>
    <row r="900" ht="14.25" customHeight="1">
      <c r="L900" s="15"/>
      <c r="Q900" s="15"/>
    </row>
    <row r="901" ht="14.25" customHeight="1">
      <c r="L901" s="15"/>
      <c r="Q901" s="15"/>
    </row>
    <row r="902" ht="14.25" customHeight="1">
      <c r="L902" s="15"/>
      <c r="Q902" s="15"/>
    </row>
    <row r="903" ht="14.25" customHeight="1">
      <c r="L903" s="15"/>
      <c r="Q903" s="15"/>
    </row>
    <row r="904" ht="14.25" customHeight="1">
      <c r="L904" s="15"/>
      <c r="Q904" s="15"/>
    </row>
    <row r="905" ht="14.25" customHeight="1">
      <c r="L905" s="15"/>
      <c r="Q905" s="15"/>
    </row>
    <row r="906" ht="14.25" customHeight="1">
      <c r="L906" s="15"/>
      <c r="Q906" s="15"/>
    </row>
    <row r="907" ht="14.25" customHeight="1">
      <c r="L907" s="15"/>
      <c r="Q907" s="15"/>
    </row>
    <row r="908" ht="14.25" customHeight="1">
      <c r="L908" s="15"/>
      <c r="Q908" s="15"/>
    </row>
    <row r="909" ht="14.25" customHeight="1">
      <c r="L909" s="15"/>
      <c r="Q909" s="15"/>
    </row>
    <row r="910" ht="14.25" customHeight="1">
      <c r="L910" s="15"/>
      <c r="Q910" s="15"/>
    </row>
    <row r="911" ht="14.25" customHeight="1">
      <c r="L911" s="15"/>
      <c r="Q911" s="15"/>
    </row>
    <row r="912" ht="14.25" customHeight="1">
      <c r="L912" s="15"/>
      <c r="Q912" s="15"/>
    </row>
    <row r="913" ht="14.25" customHeight="1">
      <c r="L913" s="15"/>
      <c r="Q913" s="15"/>
    </row>
    <row r="914" ht="14.25" customHeight="1">
      <c r="L914" s="15"/>
      <c r="Q914" s="15"/>
    </row>
    <row r="915" ht="14.25" customHeight="1">
      <c r="L915" s="15"/>
      <c r="Q915" s="15"/>
    </row>
    <row r="916" ht="14.25" customHeight="1">
      <c r="L916" s="15"/>
      <c r="Q916" s="15"/>
    </row>
    <row r="917" ht="14.25" customHeight="1">
      <c r="L917" s="15"/>
      <c r="Q917" s="15"/>
    </row>
    <row r="918" ht="14.25" customHeight="1">
      <c r="L918" s="15"/>
      <c r="Q918" s="15"/>
    </row>
    <row r="919" ht="14.25" customHeight="1">
      <c r="L919" s="15"/>
      <c r="Q919" s="15"/>
    </row>
    <row r="920" ht="14.25" customHeight="1">
      <c r="L920" s="15"/>
      <c r="Q920" s="15"/>
    </row>
    <row r="921" ht="14.25" customHeight="1">
      <c r="L921" s="15"/>
      <c r="Q921" s="15"/>
    </row>
    <row r="922" ht="14.25" customHeight="1">
      <c r="L922" s="15"/>
      <c r="Q922" s="15"/>
    </row>
    <row r="923" ht="14.25" customHeight="1">
      <c r="L923" s="15"/>
      <c r="Q923" s="15"/>
    </row>
    <row r="924" ht="14.25" customHeight="1">
      <c r="L924" s="15"/>
      <c r="Q924" s="15"/>
    </row>
    <row r="925" ht="14.25" customHeight="1">
      <c r="L925" s="15"/>
      <c r="Q925" s="15"/>
    </row>
    <row r="926" ht="14.25" customHeight="1">
      <c r="L926" s="15"/>
      <c r="Q926" s="15"/>
    </row>
    <row r="927" ht="14.25" customHeight="1">
      <c r="L927" s="15"/>
      <c r="Q927" s="15"/>
    </row>
    <row r="928" ht="14.25" customHeight="1">
      <c r="L928" s="15"/>
      <c r="Q928" s="15"/>
    </row>
    <row r="929" ht="14.25" customHeight="1">
      <c r="L929" s="15"/>
      <c r="Q929" s="15"/>
    </row>
    <row r="930" ht="14.25" customHeight="1">
      <c r="L930" s="15"/>
      <c r="Q930" s="15"/>
    </row>
    <row r="931" ht="14.25" customHeight="1">
      <c r="L931" s="15"/>
      <c r="Q931" s="15"/>
    </row>
    <row r="932" ht="14.25" customHeight="1">
      <c r="L932" s="15"/>
      <c r="Q932" s="15"/>
    </row>
    <row r="933" ht="14.25" customHeight="1">
      <c r="L933" s="15"/>
      <c r="Q933" s="15"/>
    </row>
    <row r="934" ht="14.25" customHeight="1">
      <c r="L934" s="15"/>
      <c r="Q934" s="15"/>
    </row>
    <row r="935" ht="14.25" customHeight="1">
      <c r="L935" s="15"/>
      <c r="Q935" s="15"/>
    </row>
    <row r="936" ht="14.25" customHeight="1">
      <c r="L936" s="15"/>
      <c r="Q936" s="15"/>
    </row>
    <row r="937" ht="14.25" customHeight="1">
      <c r="L937" s="15"/>
      <c r="Q937" s="15"/>
    </row>
    <row r="938" ht="14.25" customHeight="1">
      <c r="L938" s="15"/>
      <c r="Q938" s="15"/>
    </row>
    <row r="939" ht="14.25" customHeight="1">
      <c r="L939" s="15"/>
      <c r="Q939" s="15"/>
    </row>
    <row r="940" ht="14.25" customHeight="1">
      <c r="L940" s="15"/>
      <c r="Q940" s="15"/>
    </row>
    <row r="941" ht="14.25" customHeight="1">
      <c r="L941" s="15"/>
      <c r="Q941" s="15"/>
    </row>
    <row r="942" ht="14.25" customHeight="1">
      <c r="L942" s="15"/>
      <c r="Q942" s="15"/>
    </row>
    <row r="943" ht="14.25" customHeight="1">
      <c r="L943" s="15"/>
      <c r="Q943" s="15"/>
    </row>
    <row r="944" ht="14.25" customHeight="1">
      <c r="L944" s="15"/>
      <c r="Q944" s="15"/>
    </row>
    <row r="945" ht="14.25" customHeight="1">
      <c r="L945" s="15"/>
      <c r="Q945" s="15"/>
    </row>
    <row r="946" ht="14.25" customHeight="1">
      <c r="L946" s="15"/>
      <c r="Q946" s="15"/>
    </row>
    <row r="947" ht="14.25" customHeight="1">
      <c r="L947" s="15"/>
      <c r="Q947" s="15"/>
    </row>
    <row r="948" ht="14.25" customHeight="1">
      <c r="L948" s="15"/>
      <c r="Q948" s="15"/>
    </row>
    <row r="949" ht="14.25" customHeight="1">
      <c r="L949" s="15"/>
      <c r="Q949" s="15"/>
    </row>
    <row r="950" ht="14.25" customHeight="1">
      <c r="L950" s="15"/>
      <c r="Q950" s="15"/>
    </row>
    <row r="951" ht="14.25" customHeight="1">
      <c r="L951" s="15"/>
      <c r="Q951" s="15"/>
    </row>
    <row r="952" ht="14.25" customHeight="1">
      <c r="L952" s="15"/>
      <c r="Q952" s="15"/>
    </row>
    <row r="953" ht="14.25" customHeight="1">
      <c r="L953" s="15"/>
      <c r="Q953" s="15"/>
    </row>
    <row r="954" ht="14.25" customHeight="1">
      <c r="L954" s="15"/>
      <c r="Q954" s="15"/>
    </row>
    <row r="955" ht="14.25" customHeight="1">
      <c r="L955" s="15"/>
      <c r="Q955" s="15"/>
    </row>
    <row r="956" ht="14.25" customHeight="1">
      <c r="L956" s="15"/>
      <c r="Q956" s="15"/>
    </row>
    <row r="957" ht="14.25" customHeight="1">
      <c r="L957" s="15"/>
      <c r="Q957" s="15"/>
    </row>
    <row r="958" ht="14.25" customHeight="1">
      <c r="L958" s="15"/>
      <c r="Q958" s="15"/>
    </row>
    <row r="959" ht="14.25" customHeight="1">
      <c r="L959" s="15"/>
      <c r="Q959" s="15"/>
    </row>
    <row r="960" ht="14.25" customHeight="1">
      <c r="L960" s="15"/>
      <c r="Q960" s="15"/>
    </row>
    <row r="961" ht="14.25" customHeight="1">
      <c r="L961" s="15"/>
      <c r="Q961" s="15"/>
    </row>
    <row r="962" ht="14.25" customHeight="1">
      <c r="L962" s="15"/>
      <c r="Q962" s="15"/>
    </row>
    <row r="963" ht="14.25" customHeight="1">
      <c r="L963" s="15"/>
      <c r="Q963" s="15"/>
    </row>
    <row r="964" ht="14.25" customHeight="1">
      <c r="L964" s="15"/>
      <c r="Q964" s="15"/>
    </row>
    <row r="965" ht="14.25" customHeight="1">
      <c r="L965" s="15"/>
      <c r="Q965" s="15"/>
    </row>
    <row r="966" ht="14.25" customHeight="1">
      <c r="L966" s="15"/>
      <c r="Q966" s="15"/>
    </row>
    <row r="967" ht="14.25" customHeight="1">
      <c r="L967" s="15"/>
      <c r="Q967" s="15"/>
    </row>
    <row r="968" ht="14.25" customHeight="1">
      <c r="L968" s="15"/>
      <c r="Q968" s="15"/>
    </row>
    <row r="969" ht="14.25" customHeight="1">
      <c r="L969" s="15"/>
      <c r="Q969" s="15"/>
    </row>
    <row r="970" ht="14.25" customHeight="1">
      <c r="L970" s="15"/>
      <c r="Q970" s="15"/>
    </row>
    <row r="971" ht="14.25" customHeight="1">
      <c r="L971" s="15"/>
      <c r="Q971" s="15"/>
    </row>
    <row r="972" ht="14.25" customHeight="1">
      <c r="L972" s="15"/>
      <c r="Q972" s="15"/>
    </row>
    <row r="973" ht="14.25" customHeight="1">
      <c r="L973" s="15"/>
      <c r="Q973" s="15"/>
    </row>
    <row r="974" ht="14.25" customHeight="1">
      <c r="L974" s="15"/>
      <c r="Q974" s="15"/>
    </row>
    <row r="975" ht="14.25" customHeight="1">
      <c r="L975" s="15"/>
      <c r="Q975" s="15"/>
    </row>
    <row r="976" ht="14.25" customHeight="1">
      <c r="L976" s="15"/>
      <c r="Q976" s="15"/>
    </row>
    <row r="977" ht="14.25" customHeight="1">
      <c r="L977" s="15"/>
      <c r="Q977" s="15"/>
    </row>
    <row r="978" ht="14.25" customHeight="1">
      <c r="L978" s="15"/>
      <c r="Q978" s="15"/>
    </row>
    <row r="979" ht="14.25" customHeight="1">
      <c r="L979" s="15"/>
      <c r="Q979" s="15"/>
    </row>
    <row r="980" ht="14.25" customHeight="1">
      <c r="L980" s="15"/>
      <c r="Q980" s="15"/>
    </row>
    <row r="981" ht="14.25" customHeight="1">
      <c r="L981" s="15"/>
      <c r="Q981" s="15"/>
    </row>
    <row r="982" ht="14.25" customHeight="1">
      <c r="L982" s="15"/>
      <c r="Q982" s="15"/>
    </row>
    <row r="983" ht="14.25" customHeight="1">
      <c r="L983" s="15"/>
      <c r="Q983" s="15"/>
    </row>
    <row r="984" ht="14.25" customHeight="1">
      <c r="L984" s="15"/>
      <c r="Q984" s="15"/>
    </row>
    <row r="985" ht="14.25" customHeight="1">
      <c r="L985" s="15"/>
      <c r="Q985" s="15"/>
    </row>
    <row r="986" ht="14.25" customHeight="1">
      <c r="L986" s="15"/>
      <c r="Q986" s="15"/>
    </row>
    <row r="987" ht="14.25" customHeight="1">
      <c r="L987" s="15"/>
      <c r="Q987" s="15"/>
    </row>
    <row r="988" ht="14.25" customHeight="1">
      <c r="L988" s="15"/>
      <c r="Q988" s="15"/>
    </row>
    <row r="989" ht="14.25" customHeight="1">
      <c r="L989" s="15"/>
      <c r="Q989" s="15"/>
    </row>
    <row r="990" ht="14.25" customHeight="1">
      <c r="L990" s="15"/>
      <c r="Q990" s="15"/>
    </row>
    <row r="991" ht="14.25" customHeight="1">
      <c r="L991" s="15"/>
      <c r="Q991" s="15"/>
    </row>
    <row r="992" ht="14.25" customHeight="1">
      <c r="L992" s="15"/>
      <c r="Q992" s="15"/>
    </row>
    <row r="993" ht="14.25" customHeight="1">
      <c r="L993" s="15"/>
      <c r="Q993" s="15"/>
    </row>
    <row r="994" ht="14.25" customHeight="1">
      <c r="L994" s="15"/>
      <c r="Q994" s="15"/>
    </row>
    <row r="995" ht="14.25" customHeight="1">
      <c r="L995" s="15"/>
      <c r="Q995" s="15"/>
    </row>
    <row r="996" ht="14.25" customHeight="1">
      <c r="L996" s="15"/>
      <c r="Q996" s="15"/>
    </row>
    <row r="997" ht="14.25" customHeight="1">
      <c r="L997" s="15"/>
      <c r="Q997" s="15"/>
    </row>
    <row r="998" ht="14.25" customHeight="1">
      <c r="L998" s="15"/>
      <c r="Q998" s="15"/>
    </row>
    <row r="999" ht="14.25" customHeight="1">
      <c r="L999" s="15"/>
      <c r="Q999" s="15"/>
    </row>
    <row r="1000" ht="14.25" customHeight="1">
      <c r="L1000" s="15"/>
      <c r="Q1000" s="15"/>
    </row>
  </sheetData>
  <autoFilter ref="$O$23:$S$59"/>
  <mergeCells count="37">
    <mergeCell ref="G9:H9"/>
    <mergeCell ref="I9:J9"/>
    <mergeCell ref="K9:M9"/>
    <mergeCell ref="W23:W24"/>
    <mergeCell ref="B26:C26"/>
    <mergeCell ref="D26:E26"/>
    <mergeCell ref="D27:E27"/>
    <mergeCell ref="B27:C27"/>
    <mergeCell ref="B29:C29"/>
    <mergeCell ref="D29:E29"/>
    <mergeCell ref="B30:C30"/>
    <mergeCell ref="D30:E30"/>
    <mergeCell ref="G41:H41"/>
    <mergeCell ref="I41:J41"/>
    <mergeCell ref="E41:F41"/>
    <mergeCell ref="E42:F42"/>
    <mergeCell ref="G42:H42"/>
    <mergeCell ref="I42:J42"/>
    <mergeCell ref="A45:N45"/>
    <mergeCell ref="G50:H50"/>
    <mergeCell ref="I50:J50"/>
    <mergeCell ref="E50:F50"/>
    <mergeCell ref="E51:F51"/>
    <mergeCell ref="G51:H51"/>
    <mergeCell ref="I51:J51"/>
    <mergeCell ref="B55:N55"/>
    <mergeCell ref="B58:C58"/>
    <mergeCell ref="D58:E58"/>
    <mergeCell ref="D65:E65"/>
    <mergeCell ref="F65:G65"/>
    <mergeCell ref="B59:C59"/>
    <mergeCell ref="D59:E59"/>
    <mergeCell ref="B61:N61"/>
    <mergeCell ref="B64:C64"/>
    <mergeCell ref="D64:E64"/>
    <mergeCell ref="F64:G64"/>
    <mergeCell ref="B65:C65"/>
  </mergeCells>
  <dataValidations>
    <dataValidation type="list" allowBlank="1" showErrorMessage="1" sqref="B47">
      <formula1>"无,悟,携"</formula1>
    </dataValidation>
    <dataValidation type="list" allowBlank="1" showErrorMessage="1" sqref="C47:F47">
      <formula1>"无,携,悟"</formula1>
    </dataValidation>
    <dataValidation type="list" allowBlank="1" showErrorMessage="1" sqref="I47:L47">
      <formula1>"无,普通,灵韵"</formula1>
    </dataValidation>
    <dataValidation type="list" allowBlank="1" showErrorMessage="1" sqref="G47 M47:N47">
      <formula1>"无,有"</formula1>
    </dataValidation>
    <dataValidation type="list" allowBlank="1" showErrorMessage="1" sqref="H47">
      <formula1>"无,下品,上品"</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2.86"/>
    <col customWidth="1" min="3" max="3" width="16.14"/>
    <col customWidth="1" min="4" max="4" width="9.0"/>
    <col customWidth="1" min="5" max="5" width="15.43"/>
    <col customWidth="1" min="6" max="6" width="20.43"/>
    <col customWidth="1" min="7" max="16" width="9.0"/>
    <col customWidth="1" min="17" max="17" width="12.86"/>
    <col customWidth="1" min="18" max="19" width="9.0"/>
    <col customWidth="1" min="20" max="20" width="12.86"/>
    <col customWidth="1" min="21" max="26" width="9.0"/>
  </cols>
  <sheetData>
    <row r="1" ht="14.25" customHeight="1">
      <c r="A1" s="24" t="s">
        <v>220</v>
      </c>
      <c r="B1" s="24" t="s">
        <v>221</v>
      </c>
      <c r="C1" s="24" t="s">
        <v>222</v>
      </c>
      <c r="D1" s="24" t="s">
        <v>223</v>
      </c>
      <c r="E1" s="24" t="s">
        <v>108</v>
      </c>
      <c r="F1" s="142" t="s">
        <v>224</v>
      </c>
      <c r="P1" s="24" t="s">
        <v>220</v>
      </c>
      <c r="Q1" s="24" t="s">
        <v>221</v>
      </c>
      <c r="R1" s="24" t="s">
        <v>108</v>
      </c>
      <c r="S1" s="142" t="s">
        <v>224</v>
      </c>
    </row>
    <row r="2" ht="14.25" customHeight="1">
      <c r="A2" s="24">
        <v>0.0</v>
      </c>
      <c r="B2" s="24">
        <f>('属性输入'!$N$19+'属性输入'!$O$19*('属性输入'!$B$25+A2-'属性输入'!$E$11+'属性输入'!$F$25-'属性输入'!$R$25+'属性输入'!$N$25-'属性输入'!$K$11+'属性输入'!$S$27))*(1-'属性输入'!$P$25)*(1+'属性输入'!$K$27-'属性输入'!$O$11)+(1+'属性输入'!$M$27-'属性输入'!$O$11)*'属性输入'!$O$19*(1-'属性输入'!$S$25)*'属性输入'!$E$25</f>
        <v>16813.37732</v>
      </c>
      <c r="C2" s="98">
        <f t="shared" ref="C2:C90" si="1">(B2-$B$2)/$B$2</f>
        <v>0</v>
      </c>
      <c r="D2" s="24">
        <v>0.1</v>
      </c>
      <c r="E2" s="24">
        <f>'属性输入'!$B$25</f>
        <v>17500</v>
      </c>
      <c r="F2" s="142">
        <f t="shared" ref="F2:F89" si="2">(B3-B2)/B2</f>
        <v>0.003416521066</v>
      </c>
      <c r="P2" s="24">
        <v>0.0</v>
      </c>
      <c r="Q2" s="24">
        <f>('属性输入'!$N$19+'属性输入'!$O$19*('属性输入'!$B$25+P2-'属性输入'!$E$11+'属性输入'!$F$25-'属性输入'!$R$25+'属性输入'!$N$25-'属性输入'!$K$11+'属性输入'!$S$27))*(1-'属性输入'!$P$25)*(1+'属性输入'!$K$27-'属性输入'!$O$11)+(1+'属性输入'!$M$27-'属性输入'!$O$11)*'属性输入'!$O$19*(1-'属性输入'!$S$25)*'属性输入'!$E$25</f>
        <v>16813.37732</v>
      </c>
      <c r="R2" s="24">
        <f>'属性输入'!$B$25</f>
        <v>17500</v>
      </c>
      <c r="S2" s="142">
        <f>(Q3-Q2)/Q2</f>
        <v>0.003416521066</v>
      </c>
      <c r="T2" s="24" t="s">
        <v>225</v>
      </c>
    </row>
    <row r="3" ht="14.25" customHeight="1">
      <c r="A3" s="24">
        <v>100.0</v>
      </c>
      <c r="B3" s="24">
        <f>('属性输入'!$N$19+'属性输入'!$O$19*('属性输入'!$B$25+A3-'属性输入'!$E$11+'属性输入'!$F$25-'属性输入'!$R$25+'属性输入'!$N$25-'属性输入'!$K$11+'属性输入'!$S$27))*(1-'属性输入'!$P$25)*(1+'属性输入'!$K$27-'属性输入'!$O$11)+(1+'属性输入'!$M$27-'属性输入'!$O$11)*'属性输入'!$O$19*(1-'属性输入'!$S$25)*'属性输入'!$E$25</f>
        <v>16870.82057</v>
      </c>
      <c r="C3" s="98">
        <f t="shared" si="1"/>
        <v>0.003416521066</v>
      </c>
      <c r="D3" s="24">
        <v>0.1</v>
      </c>
      <c r="E3" s="24">
        <f t="shared" ref="E3:E90" si="3">$E$2+A3</f>
        <v>17600</v>
      </c>
      <c r="F3" s="142">
        <f t="shared" si="2"/>
        <v>0.003404888193</v>
      </c>
      <c r="P3" s="24">
        <v>100.0</v>
      </c>
      <c r="Q3" s="24">
        <f>('属性输入'!$N$19+'属性输入'!$O$19*('属性输入'!$B$25+P3-'属性输入'!$E$11+'属性输入'!$F$25-'属性输入'!$R$25+'属性输入'!$N$25-'属性输入'!$K$11+'属性输入'!$S$27))*(1-'属性输入'!$P$25)*(1+'属性输入'!$K$27-'属性输入'!$O$11)+(1+'属性输入'!$M$27-'属性输入'!$O$11)*'属性输入'!$O$19*(1-'属性输入'!$S$25)*'属性输入'!$E$25</f>
        <v>16870.82057</v>
      </c>
      <c r="R3" s="24">
        <f>$E$2+P3</f>
        <v>17600</v>
      </c>
      <c r="S3" s="142"/>
    </row>
    <row r="4" ht="14.25" customHeight="1">
      <c r="A4" s="24">
        <v>200.0</v>
      </c>
      <c r="B4" s="24">
        <f>('属性输入'!$N$19+'属性输入'!$O$19*('属性输入'!$B$25+A4-'属性输入'!$E$11+'属性输入'!$F$25-'属性输入'!$R$25+'属性输入'!$N$25-'属性输入'!$K$11+'属性输入'!$S$27))*(1-'属性输入'!$P$25)*(1+'属性输入'!$K$27-'属性输入'!$O$11)+(1+'属性输入'!$M$27-'属性输入'!$O$11)*'属性输入'!$O$19*(1-'属性输入'!$S$25)*'属性输入'!$E$25</f>
        <v>16928.26383</v>
      </c>
      <c r="C4" s="98">
        <f t="shared" si="1"/>
        <v>0.006833042131</v>
      </c>
      <c r="D4" s="24">
        <v>0.1</v>
      </c>
      <c r="E4" s="24">
        <f t="shared" si="3"/>
        <v>17700</v>
      </c>
      <c r="F4" s="142">
        <f t="shared" si="2"/>
        <v>0.00339333427</v>
      </c>
      <c r="P4" s="24">
        <v>269.0</v>
      </c>
      <c r="Q4" s="24">
        <f>('属性输入'!$N$19+'属性输入'!$O$19*('属性输入'!$B$25+P4-'属性输入'!$E$11+'属性输入'!$F$25-'属性输入'!$R$25+'属性输入'!$N$25-'属性输入'!$K$11+'属性输入'!$S$27))*(1-'属性输入'!$P$25)*(1+'属性输入'!$K$27-'属性输入'!$O$11)+(1+'属性输入'!$M$27-'属性输入'!$O$11)*'属性输入'!$O$19*(1-'属性输入'!$S$25)*'属性输入'!$E$25</f>
        <v>16967.89968</v>
      </c>
      <c r="R4" s="24">
        <f>R2+P4</f>
        <v>17769</v>
      </c>
      <c r="T4" s="24">
        <f>(Q4-Q2)/Q2</f>
        <v>0.009190441666</v>
      </c>
    </row>
    <row r="5" ht="14.25" customHeight="1">
      <c r="A5" s="24">
        <v>300.0</v>
      </c>
      <c r="B5" s="24">
        <f>('属性输入'!$N$19+'属性输入'!$O$19*('属性输入'!$B$25+A5-'属性输入'!$E$11+'属性输入'!$F$25-'属性输入'!$R$25+'属性输入'!$N$25-'属性输入'!$K$11+'属性输入'!$S$27))*(1-'属性输入'!$P$25)*(1+'属性输入'!$K$27-'属性输入'!$O$11)+(1+'属性输入'!$M$27-'属性输入'!$O$11)*'属性输入'!$O$19*(1-'属性输入'!$S$25)*'属性输入'!$E$25</f>
        <v>16985.70709</v>
      </c>
      <c r="C5" s="98">
        <f t="shared" si="1"/>
        <v>0.0102495632</v>
      </c>
      <c r="D5" s="24">
        <v>0.1</v>
      </c>
      <c r="E5" s="24">
        <f t="shared" si="3"/>
        <v>17800</v>
      </c>
      <c r="F5" s="142">
        <f t="shared" si="2"/>
        <v>0.003381858493</v>
      </c>
      <c r="P5" s="24">
        <v>418.0</v>
      </c>
      <c r="Q5" s="24">
        <f>('属性输入'!$N$19+'属性输入'!$O$19*('属性输入'!$B$25+P5-'属性输入'!$E$11+'属性输入'!$F$25-'属性输入'!$R$25+'属性输入'!$N$25-'属性输入'!$K$11+'属性输入'!$S$27))*(1-'属性输入'!$P$25)*(1+'属性输入'!$K$27-'属性输入'!$O$11)+(1+'属性输入'!$M$27-'属性输入'!$O$11)*'属性输入'!$O$19*(1-'属性输入'!$S$25)*'属性输入'!$E$25</f>
        <v>17053.49013</v>
      </c>
      <c r="R5" s="24">
        <f>R2+P5</f>
        <v>17918</v>
      </c>
      <c r="T5" s="24">
        <f>(Q5-Q2)/Q2</f>
        <v>0.01428105805</v>
      </c>
    </row>
    <row r="6" ht="14.25" customHeight="1">
      <c r="A6" s="24">
        <v>400.0</v>
      </c>
      <c r="B6" s="24">
        <f>('属性输入'!$N$19+'属性输入'!$O$19*('属性输入'!$B$25+A6-'属性输入'!$E$11+'属性输入'!$F$25-'属性输入'!$R$25+'属性输入'!$N$25-'属性输入'!$K$11+'属性输入'!$S$27))*(1-'属性输入'!$P$25)*(1+'属性输入'!$K$27-'属性输入'!$O$11)+(1+'属性输入'!$M$27-'属性输入'!$O$11)*'属性输入'!$O$19*(1-'属性输入'!$S$25)*'属性输入'!$E$25</f>
        <v>17043.15035</v>
      </c>
      <c r="C6" s="98">
        <f t="shared" si="1"/>
        <v>0.01366608426</v>
      </c>
      <c r="D6" s="24">
        <v>0.1</v>
      </c>
      <c r="E6" s="24">
        <f t="shared" si="3"/>
        <v>17900</v>
      </c>
      <c r="F6" s="142">
        <f t="shared" si="2"/>
        <v>0.003370460074</v>
      </c>
    </row>
    <row r="7" ht="14.25" customHeight="1">
      <c r="A7" s="24">
        <v>500.0</v>
      </c>
      <c r="B7" s="24">
        <f>('属性输入'!$N$19+'属性输入'!$O$19*('属性输入'!$B$25+A7-'属性输入'!$E$11+'属性输入'!$F$25-'属性输入'!$R$25+'属性输入'!$N$25-'属性输入'!$K$11+'属性输入'!$S$27))*(1-'属性输入'!$P$25)*(1+'属性输入'!$K$27-'属性输入'!$O$11)+(1+'属性输入'!$M$27-'属性输入'!$O$11)*'属性输入'!$O$19*(1-'属性输入'!$S$25)*'属性输入'!$E$25</f>
        <v>17100.59361</v>
      </c>
      <c r="C7" s="98">
        <f t="shared" si="1"/>
        <v>0.01708260533</v>
      </c>
      <c r="D7" s="24">
        <v>0.1</v>
      </c>
      <c r="E7" s="24">
        <f t="shared" si="3"/>
        <v>18000</v>
      </c>
      <c r="F7" s="142">
        <f t="shared" si="2"/>
        <v>0.003359138233</v>
      </c>
    </row>
    <row r="8" ht="14.25" customHeight="1">
      <c r="A8" s="24">
        <v>600.0</v>
      </c>
      <c r="B8" s="24">
        <f>('属性输入'!$N$19+'属性输入'!$O$19*('属性输入'!$B$25+A8-'属性输入'!$E$11+'属性输入'!$F$25-'属性输入'!$R$25+'属性输入'!$N$25-'属性输入'!$K$11+'属性输入'!$S$27))*(1-'属性输入'!$P$25)*(1+'属性输入'!$K$27-'属性输入'!$O$11)+(1+'属性输入'!$M$27-'属性输入'!$O$11)*'属性输入'!$O$19*(1-'属性输入'!$S$25)*'属性输入'!$E$25</f>
        <v>17158.03686</v>
      </c>
      <c r="C8" s="98">
        <f t="shared" si="1"/>
        <v>0.02049912639</v>
      </c>
      <c r="D8" s="24">
        <v>0.1</v>
      </c>
      <c r="E8" s="24">
        <f t="shared" si="3"/>
        <v>18100</v>
      </c>
      <c r="F8" s="142">
        <f t="shared" si="2"/>
        <v>0.0033478922</v>
      </c>
    </row>
    <row r="9" ht="14.25" customHeight="1">
      <c r="A9" s="24">
        <v>700.0</v>
      </c>
      <c r="B9" s="24">
        <f>('属性输入'!$N$19+'属性输入'!$O$19*('属性输入'!$B$25+A9-'属性输入'!$E$11+'属性输入'!$F$25-'属性输入'!$R$25+'属性输入'!$N$25-'属性输入'!$K$11+'属性输入'!$S$27))*(1-'属性输入'!$P$25)*(1+'属性输入'!$K$27-'属性输入'!$O$11)+(1+'属性输入'!$M$27-'属性输入'!$O$11)*'属性输入'!$O$19*(1-'属性输入'!$S$25)*'属性输入'!$E$25</f>
        <v>17215.48012</v>
      </c>
      <c r="C9" s="98">
        <f t="shared" si="1"/>
        <v>0.02391564746</v>
      </c>
      <c r="D9" s="24">
        <v>0.1</v>
      </c>
      <c r="E9" s="24">
        <f t="shared" si="3"/>
        <v>18200</v>
      </c>
      <c r="F9" s="142">
        <f t="shared" si="2"/>
        <v>0.003336721217</v>
      </c>
      <c r="U9" s="24">
        <v>0.08</v>
      </c>
    </row>
    <row r="10" ht="14.25" customHeight="1">
      <c r="A10" s="24">
        <v>800.0</v>
      </c>
      <c r="B10" s="24">
        <f>('属性输入'!$N$19+'属性输入'!$O$19*('属性输入'!$B$25+A10-'属性输入'!$E$11+'属性输入'!$F$25-'属性输入'!$R$25+'属性输入'!$N$25-'属性输入'!$K$11+'属性输入'!$S$27))*(1-'属性输入'!$P$25)*(1+'属性输入'!$K$27-'属性输入'!$O$11)+(1+'属性输入'!$M$27-'属性输入'!$O$11)*'属性输入'!$O$19*(1-'属性输入'!$S$25)*'属性输入'!$E$25</f>
        <v>17272.92338</v>
      </c>
      <c r="C10" s="98">
        <f t="shared" si="1"/>
        <v>0.02733216852</v>
      </c>
      <c r="D10" s="24">
        <v>0.1</v>
      </c>
      <c r="E10" s="24">
        <f t="shared" si="3"/>
        <v>18300</v>
      </c>
      <c r="F10" s="142">
        <f t="shared" si="2"/>
        <v>0.003325624535</v>
      </c>
    </row>
    <row r="11" ht="14.25" customHeight="1">
      <c r="A11" s="24">
        <v>900.0</v>
      </c>
      <c r="B11" s="24">
        <f>('属性输入'!$N$19+'属性输入'!$O$19*('属性输入'!$B$25+A11-'属性输入'!$E$11+'属性输入'!$F$25-'属性输入'!$R$25+'属性输入'!$N$25-'属性输入'!$K$11+'属性输入'!$S$27))*(1-'属性输入'!$P$25)*(1+'属性输入'!$K$27-'属性输入'!$O$11)+(1+'属性输入'!$M$27-'属性输入'!$O$11)*'属性输入'!$O$19*(1-'属性输入'!$S$25)*'属性输入'!$E$25</f>
        <v>17330.36664</v>
      </c>
      <c r="C11" s="98">
        <f t="shared" si="1"/>
        <v>0.03074868959</v>
      </c>
      <c r="D11" s="24">
        <v>0.1</v>
      </c>
      <c r="E11" s="24">
        <f t="shared" si="3"/>
        <v>18400</v>
      </c>
      <c r="F11" s="142">
        <f t="shared" si="2"/>
        <v>0.003314601416</v>
      </c>
    </row>
    <row r="12" ht="14.25" customHeight="1">
      <c r="A12" s="24">
        <v>1000.0</v>
      </c>
      <c r="B12" s="24">
        <f>('属性输入'!$N$19+'属性输入'!$O$19*('属性输入'!$B$25+A12-'属性输入'!$E$11+'属性输入'!$F$25-'属性输入'!$R$25+'属性输入'!$N$25-'属性输入'!$K$11+'属性输入'!$S$27))*(1-'属性输入'!$P$25)*(1+'属性输入'!$K$27-'属性输入'!$O$11)+(1+'属性输入'!$M$27-'属性输入'!$O$11)*'属性输入'!$O$19*(1-'属性输入'!$S$25)*'属性输入'!$E$25</f>
        <v>17387.80989</v>
      </c>
      <c r="C12" s="98">
        <f t="shared" si="1"/>
        <v>0.03416521066</v>
      </c>
      <c r="D12" s="24">
        <v>0.1</v>
      </c>
      <c r="E12" s="24">
        <f t="shared" si="3"/>
        <v>18500</v>
      </c>
      <c r="F12" s="142">
        <f t="shared" si="2"/>
        <v>0.003303651129</v>
      </c>
    </row>
    <row r="13" ht="14.25" customHeight="1">
      <c r="A13" s="24">
        <v>1100.0</v>
      </c>
      <c r="B13" s="24">
        <f>('属性输入'!$N$19+'属性输入'!$O$19*('属性输入'!$B$25+A13-'属性输入'!$E$11+'属性输入'!$F$25-'属性输入'!$R$25+'属性输入'!$N$25-'属性输入'!$K$11+'属性输入'!$S$27))*(1-'属性输入'!$P$25)*(1+'属性输入'!$K$27-'属性输入'!$O$11)+(1+'属性输入'!$M$27-'属性输入'!$O$11)*'属性输入'!$O$19*(1-'属性输入'!$S$25)*'属性输入'!$E$25</f>
        <v>17445.25315</v>
      </c>
      <c r="C13" s="98">
        <f t="shared" si="1"/>
        <v>0.03758173172</v>
      </c>
      <c r="D13" s="24">
        <v>0.1</v>
      </c>
      <c r="E13" s="24">
        <f t="shared" si="3"/>
        <v>18600</v>
      </c>
      <c r="F13" s="142">
        <f t="shared" si="2"/>
        <v>0.003292772956</v>
      </c>
    </row>
    <row r="14" ht="14.25" customHeight="1">
      <c r="A14" s="24">
        <v>1200.0</v>
      </c>
      <c r="B14" s="24">
        <f>('属性输入'!$N$19+'属性输入'!$O$19*('属性输入'!$B$25+A14-'属性输入'!$E$11+'属性输入'!$F$25-'属性输入'!$R$25+'属性输入'!$N$25-'属性输入'!$K$11+'属性输入'!$S$27))*(1-'属性输入'!$P$25)*(1+'属性输入'!$K$27-'属性输入'!$O$11)+(1+'属性输入'!$M$27-'属性输入'!$O$11)*'属性输入'!$O$19*(1-'属性输入'!$S$25)*'属性输入'!$E$25</f>
        <v>17502.69641</v>
      </c>
      <c r="C14" s="98">
        <f t="shared" si="1"/>
        <v>0.04099825279</v>
      </c>
      <c r="D14" s="24">
        <v>0.1</v>
      </c>
      <c r="E14" s="24">
        <f t="shared" si="3"/>
        <v>18700</v>
      </c>
      <c r="F14" s="142">
        <f t="shared" si="2"/>
        <v>0.003281966186</v>
      </c>
    </row>
    <row r="15" ht="14.25" customHeight="1">
      <c r="A15" s="24">
        <v>1300.0</v>
      </c>
      <c r="B15" s="24">
        <f>('属性输入'!$N$19+'属性输入'!$O$19*('属性输入'!$B$25+A15-'属性输入'!$E$11+'属性输入'!$F$25-'属性输入'!$R$25+'属性输入'!$N$25-'属性输入'!$K$11+'属性输入'!$S$27))*(1-'属性输入'!$P$25)*(1+'属性输入'!$K$27-'属性输入'!$O$11)+(1+'属性输入'!$M$27-'属性输入'!$O$11)*'属性输入'!$O$19*(1-'属性输入'!$S$25)*'属性输入'!$E$25</f>
        <v>17560.13967</v>
      </c>
      <c r="C15" s="98">
        <f t="shared" si="1"/>
        <v>0.04441477385</v>
      </c>
      <c r="D15" s="24">
        <v>0.1</v>
      </c>
      <c r="E15" s="24">
        <f t="shared" si="3"/>
        <v>18800</v>
      </c>
      <c r="F15" s="142">
        <f t="shared" si="2"/>
        <v>0.00327123012</v>
      </c>
    </row>
    <row r="16" ht="14.25" customHeight="1">
      <c r="A16" s="24">
        <v>1400.0</v>
      </c>
      <c r="B16" s="24">
        <f>('属性输入'!$N$19+'属性输入'!$O$19*('属性输入'!$B$25+A16-'属性输入'!$E$11+'属性输入'!$F$25-'属性输入'!$R$25+'属性输入'!$N$25-'属性输入'!$K$11+'属性输入'!$S$27))*(1-'属性输入'!$P$25)*(1+'属性输入'!$K$27-'属性输入'!$O$11)+(1+'属性输入'!$M$27-'属性输入'!$O$11)*'属性输入'!$O$19*(1-'属性输入'!$S$25)*'属性输入'!$E$25</f>
        <v>17617.58293</v>
      </c>
      <c r="C16" s="98">
        <f t="shared" si="1"/>
        <v>0.04783129492</v>
      </c>
      <c r="D16" s="24">
        <v>0.1</v>
      </c>
      <c r="E16" s="24">
        <f t="shared" si="3"/>
        <v>18900</v>
      </c>
      <c r="F16" s="142">
        <f t="shared" si="2"/>
        <v>0.003260564064</v>
      </c>
    </row>
    <row r="17" ht="14.25" customHeight="1">
      <c r="A17" s="24">
        <v>1500.0</v>
      </c>
      <c r="B17" s="24">
        <f>('属性输入'!$N$19+'属性输入'!$O$19*('属性输入'!$B$25+A17-'属性输入'!$E$11+'属性输入'!$F$25-'属性输入'!$R$25+'属性输入'!$N$25-'属性输入'!$K$11+'属性输入'!$S$27))*(1-'属性输入'!$P$25)*(1+'属性输入'!$K$27-'属性输入'!$O$11)+(1+'属性输入'!$M$27-'属性输入'!$O$11)*'属性输入'!$O$19*(1-'属性输入'!$S$25)*'属性输入'!$E$25</f>
        <v>17675.02618</v>
      </c>
      <c r="C17" s="98">
        <f t="shared" si="1"/>
        <v>0.05124781598</v>
      </c>
      <c r="D17" s="24">
        <v>0.1</v>
      </c>
      <c r="E17" s="24">
        <f t="shared" si="3"/>
        <v>19000</v>
      </c>
      <c r="F17" s="142">
        <f t="shared" si="2"/>
        <v>0.003249967337</v>
      </c>
    </row>
    <row r="18" ht="14.25" customHeight="1">
      <c r="A18" s="24">
        <v>1600.0</v>
      </c>
      <c r="B18" s="24">
        <f>('属性输入'!$N$19+'属性输入'!$O$19*('属性输入'!$B$25+A18-'属性输入'!$E$11+'属性输入'!$F$25-'属性输入'!$R$25+'属性输入'!$N$25-'属性输入'!$K$11+'属性输入'!$S$27))*(1-'属性输入'!$P$25)*(1+'属性输入'!$K$27-'属性输入'!$O$11)+(1+'属性输入'!$M$27-'属性输入'!$O$11)*'属性输入'!$O$19*(1-'属性输入'!$S$25)*'属性输入'!$E$25</f>
        <v>17732.46944</v>
      </c>
      <c r="C18" s="98">
        <f t="shared" si="1"/>
        <v>0.05466433705</v>
      </c>
      <c r="D18" s="24">
        <v>0.1</v>
      </c>
      <c r="E18" s="24">
        <f t="shared" si="3"/>
        <v>19100</v>
      </c>
      <c r="F18" s="142">
        <f t="shared" si="2"/>
        <v>0.003239439266</v>
      </c>
    </row>
    <row r="19" ht="14.25" customHeight="1">
      <c r="A19" s="24">
        <v>1700.0</v>
      </c>
      <c r="B19" s="24">
        <f>('属性输入'!$N$19+'属性输入'!$O$19*('属性输入'!$B$25+A19-'属性输入'!$E$11+'属性输入'!$F$25-'属性输入'!$R$25+'属性输入'!$N$25-'属性输入'!$K$11+'属性输入'!$S$27))*(1-'属性输入'!$P$25)*(1+'属性输入'!$K$27-'属性输入'!$O$11)+(1+'属性输入'!$M$27-'属性输入'!$O$11)*'属性输入'!$O$19*(1-'属性输入'!$S$25)*'属性输入'!$E$25</f>
        <v>17789.9127</v>
      </c>
      <c r="C19" s="98">
        <f t="shared" si="1"/>
        <v>0.05808085811</v>
      </c>
      <c r="D19" s="24">
        <v>0.1</v>
      </c>
      <c r="E19" s="24">
        <f t="shared" si="3"/>
        <v>19200</v>
      </c>
      <c r="F19" s="142">
        <f t="shared" si="2"/>
        <v>0.003228979184</v>
      </c>
    </row>
    <row r="20" ht="14.25" customHeight="1">
      <c r="A20" s="24">
        <v>1800.0</v>
      </c>
      <c r="B20" s="24">
        <f>('属性输入'!$N$19+'属性输入'!$O$19*('属性输入'!$B$25+A20-'属性输入'!$E$11+'属性输入'!$F$25-'属性输入'!$R$25+'属性输入'!$N$25-'属性输入'!$K$11+'属性输入'!$S$27))*(1-'属性输入'!$P$25)*(1+'属性输入'!$K$27-'属性输入'!$O$11)+(1+'属性输入'!$M$27-'属性输入'!$O$11)*'属性输入'!$O$19*(1-'属性输入'!$S$25)*'属性输入'!$E$25</f>
        <v>17847.35596</v>
      </c>
      <c r="C20" s="98">
        <f t="shared" si="1"/>
        <v>0.06149737918</v>
      </c>
      <c r="D20" s="24">
        <v>0.1</v>
      </c>
      <c r="E20" s="24">
        <f t="shared" si="3"/>
        <v>19300</v>
      </c>
      <c r="F20" s="142">
        <f t="shared" si="2"/>
        <v>0.003218586435</v>
      </c>
    </row>
    <row r="21" ht="14.25" customHeight="1">
      <c r="A21" s="24">
        <v>1900.0</v>
      </c>
      <c r="B21" s="24">
        <f>('属性输入'!$N$19+'属性输入'!$O$19*('属性输入'!$B$25+A21-'属性输入'!$E$11+'属性输入'!$F$25-'属性输入'!$R$25+'属性输入'!$N$25-'属性输入'!$K$11+'属性输入'!$S$27))*(1-'属性输入'!$P$25)*(1+'属性输入'!$K$27-'属性输入'!$O$11)+(1+'属性输入'!$M$27-'属性输入'!$O$11)*'属性输入'!$O$19*(1-'属性输入'!$S$25)*'属性输入'!$E$25</f>
        <v>17904.79921</v>
      </c>
      <c r="C21" s="98">
        <f t="shared" si="1"/>
        <v>0.06491390025</v>
      </c>
      <c r="D21" s="24">
        <v>0.1</v>
      </c>
      <c r="E21" s="24">
        <f t="shared" si="3"/>
        <v>19400</v>
      </c>
      <c r="F21" s="142">
        <f t="shared" si="2"/>
        <v>0.003208260372</v>
      </c>
    </row>
    <row r="22" ht="14.25" customHeight="1">
      <c r="A22" s="24">
        <v>2000.0</v>
      </c>
      <c r="B22" s="24">
        <f>('属性输入'!$N$19+'属性输入'!$O$19*('属性输入'!$B$25+A22-'属性输入'!$E$11+'属性输入'!$F$25-'属性输入'!$R$25+'属性输入'!$N$25-'属性输入'!$K$11+'属性输入'!$S$27))*(1-'属性输入'!$P$25)*(1+'属性输入'!$K$27-'属性输入'!$O$11)+(1+'属性输入'!$M$27-'属性输入'!$O$11)*'属性输入'!$O$19*(1-'属性输入'!$S$25)*'属性输入'!$E$25</f>
        <v>17962.24247</v>
      </c>
      <c r="C22" s="98">
        <f t="shared" si="1"/>
        <v>0.06833042131</v>
      </c>
      <c r="D22" s="24">
        <v>0.1</v>
      </c>
      <c r="E22" s="24">
        <f t="shared" si="3"/>
        <v>19500</v>
      </c>
      <c r="F22" s="142">
        <f t="shared" si="2"/>
        <v>0.003198000354</v>
      </c>
    </row>
    <row r="23" ht="14.25" customHeight="1">
      <c r="A23" s="24">
        <v>2100.0</v>
      </c>
      <c r="B23" s="24">
        <f>('属性输入'!$N$19+'属性输入'!$O$19*('属性输入'!$B$25+A23-'属性输入'!$E$11+'属性输入'!$F$25-'属性输入'!$R$25+'属性输入'!$N$25-'属性输入'!$K$11+'属性输入'!$S$27))*(1-'属性输入'!$P$25)*(1+'属性输入'!$K$27-'属性输入'!$O$11)+(1+'属性输入'!$M$27-'属性输入'!$O$11)*'属性输入'!$O$19*(1-'属性输入'!$S$25)*'属性输入'!$E$25</f>
        <v>18019.68573</v>
      </c>
      <c r="C23" s="98">
        <f t="shared" si="1"/>
        <v>0.07174694238</v>
      </c>
      <c r="D23" s="24">
        <v>0.1</v>
      </c>
      <c r="E23" s="24">
        <f t="shared" si="3"/>
        <v>19600</v>
      </c>
      <c r="F23" s="142">
        <f t="shared" si="2"/>
        <v>0.00318780575</v>
      </c>
    </row>
    <row r="24" ht="14.25" customHeight="1">
      <c r="A24" s="24">
        <v>2200.0</v>
      </c>
      <c r="B24" s="24">
        <f>('属性输入'!$N$19+'属性输入'!$O$19*('属性输入'!$B$25+A24-'属性输入'!$E$11+'属性输入'!$F$25-'属性输入'!$R$25+'属性输入'!$N$25-'属性输入'!$K$11+'属性输入'!$S$27))*(1-'属性输入'!$P$25)*(1+'属性输入'!$K$27-'属性输入'!$O$11)+(1+'属性输入'!$M$27-'属性输入'!$O$11)*'属性输入'!$O$19*(1-'属性输入'!$S$25)*'属性输入'!$E$25</f>
        <v>18077.12899</v>
      </c>
      <c r="C24" s="98">
        <f t="shared" si="1"/>
        <v>0.07516346344</v>
      </c>
      <c r="D24" s="24">
        <v>0.1</v>
      </c>
      <c r="E24" s="24">
        <f t="shared" si="3"/>
        <v>19700</v>
      </c>
      <c r="F24" s="142">
        <f t="shared" si="2"/>
        <v>0.003177675936</v>
      </c>
    </row>
    <row r="25" ht="14.25" customHeight="1">
      <c r="A25" s="24">
        <v>2300.0</v>
      </c>
      <c r="B25" s="24">
        <f>('属性输入'!$N$19+'属性输入'!$O$19*('属性输入'!$B$25+A25-'属性输入'!$E$11+'属性输入'!$F$25-'属性输入'!$R$25+'属性输入'!$N$25-'属性输入'!$K$11+'属性输入'!$S$27))*(1-'属性输入'!$P$25)*(1+'属性输入'!$K$27-'属性输入'!$O$11)+(1+'属性输入'!$M$27-'属性输入'!$O$11)*'属性输入'!$O$19*(1-'属性输入'!$S$25)*'属性输入'!$E$25</f>
        <v>18134.57225</v>
      </c>
      <c r="C25" s="98">
        <f t="shared" si="1"/>
        <v>0.07857998451</v>
      </c>
      <c r="D25" s="24">
        <v>0.1</v>
      </c>
      <c r="E25" s="24">
        <f t="shared" si="3"/>
        <v>19800</v>
      </c>
      <c r="F25" s="142">
        <f t="shared" si="2"/>
        <v>0.003167610297</v>
      </c>
    </row>
    <row r="26" ht="14.25" customHeight="1">
      <c r="A26" s="24">
        <v>2400.0</v>
      </c>
      <c r="B26" s="24">
        <f>('属性输入'!$N$19+'属性输入'!$O$19*('属性输入'!$B$25+A26-'属性输入'!$E$11+'属性输入'!$F$25-'属性输入'!$R$25+'属性输入'!$N$25-'属性输入'!$K$11+'属性输入'!$S$27))*(1-'属性输入'!$P$25)*(1+'属性输入'!$K$27-'属性输入'!$O$11)+(1+'属性输入'!$M$27-'属性输入'!$O$11)*'属性输入'!$O$19*(1-'属性输入'!$S$25)*'属性输入'!$E$25</f>
        <v>18192.0155</v>
      </c>
      <c r="C26" s="98">
        <f t="shared" si="1"/>
        <v>0.08199650557</v>
      </c>
      <c r="D26" s="24">
        <v>0.1</v>
      </c>
      <c r="E26" s="24">
        <f t="shared" si="3"/>
        <v>19900</v>
      </c>
      <c r="F26" s="142">
        <f t="shared" si="2"/>
        <v>0.003157608225</v>
      </c>
    </row>
    <row r="27" ht="14.25" customHeight="1">
      <c r="A27" s="24">
        <v>2500.0</v>
      </c>
      <c r="B27" s="24">
        <f>('属性输入'!$N$19+'属性输入'!$O$19*('属性输入'!$B$25+A27-'属性输入'!$E$11+'属性输入'!$F$25-'属性输入'!$R$25+'属性输入'!$N$25-'属性输入'!$K$11+'属性输入'!$S$27))*(1-'属性输入'!$P$25)*(1+'属性输入'!$K$27-'属性输入'!$O$11)+(1+'属性输入'!$M$27-'属性输入'!$O$11)*'属性输入'!$O$19*(1-'属性输入'!$S$25)*'属性输入'!$E$25</f>
        <v>18249.45876</v>
      </c>
      <c r="C27" s="98">
        <f t="shared" si="1"/>
        <v>0.08541302664</v>
      </c>
      <c r="D27" s="24">
        <v>0.1</v>
      </c>
      <c r="E27" s="24">
        <f t="shared" si="3"/>
        <v>20000</v>
      </c>
      <c r="F27" s="142">
        <f t="shared" si="2"/>
        <v>0.003147669119</v>
      </c>
    </row>
    <row r="28" ht="14.25" customHeight="1">
      <c r="A28" s="24">
        <v>2600.0</v>
      </c>
      <c r="B28" s="24">
        <f>('属性输入'!$N$19+'属性输入'!$O$19*('属性输入'!$B$25+A28-'属性输入'!$E$11+'属性输入'!$F$25-'属性输入'!$R$25+'属性输入'!$N$25-'属性输入'!$K$11+'属性输入'!$S$27))*(1-'属性输入'!$P$25)*(1+'属性输入'!$K$27-'属性输入'!$O$11)+(1+'属性输入'!$M$27-'属性输入'!$O$11)*'属性输入'!$O$19*(1-'属性输入'!$S$25)*'属性输入'!$E$25</f>
        <v>18306.90202</v>
      </c>
      <c r="C28" s="98">
        <f t="shared" si="1"/>
        <v>0.0888295477</v>
      </c>
      <c r="D28" s="24">
        <v>0.1</v>
      </c>
      <c r="E28" s="24">
        <f t="shared" si="3"/>
        <v>20100</v>
      </c>
      <c r="F28" s="142">
        <f t="shared" si="2"/>
        <v>0.003137792387</v>
      </c>
    </row>
    <row r="29" ht="14.25" customHeight="1">
      <c r="A29" s="24">
        <v>2700.0</v>
      </c>
      <c r="B29" s="24">
        <f>('属性输入'!$N$19+'属性输入'!$O$19*('属性输入'!$B$25+A29-'属性输入'!$E$11+'属性输入'!$F$25-'属性输入'!$R$25+'属性输入'!$N$25-'属性输入'!$K$11+'属性输入'!$S$27))*(1-'属性输入'!$P$25)*(1+'属性输入'!$K$27-'属性输入'!$O$11)+(1+'属性输入'!$M$27-'属性输入'!$O$11)*'属性输入'!$O$19*(1-'属性输入'!$S$25)*'属性输入'!$E$25</f>
        <v>18364.34528</v>
      </c>
      <c r="C29" s="98">
        <f t="shared" si="1"/>
        <v>0.09224606877</v>
      </c>
      <c r="D29" s="24">
        <v>0.1</v>
      </c>
      <c r="E29" s="24">
        <f t="shared" si="3"/>
        <v>20200</v>
      </c>
      <c r="F29" s="142">
        <f t="shared" si="2"/>
        <v>0.003127977443</v>
      </c>
    </row>
    <row r="30" ht="14.25" customHeight="1">
      <c r="A30" s="24">
        <v>2800.0</v>
      </c>
      <c r="B30" s="24">
        <f>('属性输入'!$N$19+'属性输入'!$O$19*('属性输入'!$B$25+A30-'属性输入'!$E$11+'属性输入'!$F$25-'属性输入'!$R$25+'属性输入'!$N$25-'属性输入'!$K$11+'属性输入'!$S$27))*(1-'属性输入'!$P$25)*(1+'属性输入'!$K$27-'属性输入'!$O$11)+(1+'属性输入'!$M$27-'属性输入'!$O$11)*'属性输入'!$O$19*(1-'属性输入'!$S$25)*'属性输入'!$E$25</f>
        <v>18421.78853</v>
      </c>
      <c r="C30" s="98">
        <f t="shared" si="1"/>
        <v>0.09566258984</v>
      </c>
      <c r="D30" s="24">
        <v>0.1</v>
      </c>
      <c r="E30" s="24">
        <f t="shared" si="3"/>
        <v>20300</v>
      </c>
      <c r="F30" s="142">
        <f t="shared" si="2"/>
        <v>0.00311822371</v>
      </c>
    </row>
    <row r="31" ht="14.25" customHeight="1">
      <c r="A31" s="24">
        <v>2900.0</v>
      </c>
      <c r="B31" s="24">
        <f>('属性输入'!$N$19+'属性输入'!$O$19*('属性输入'!$B$25+A31-'属性输入'!$E$11+'属性输入'!$F$25-'属性输入'!$R$25+'属性输入'!$N$25-'属性输入'!$K$11+'属性输入'!$S$27))*(1-'属性输入'!$P$25)*(1+'属性输入'!$K$27-'属性输入'!$O$11)+(1+'属性输入'!$M$27-'属性输入'!$O$11)*'属性输入'!$O$19*(1-'属性输入'!$S$25)*'属性输入'!$E$25</f>
        <v>18479.23179</v>
      </c>
      <c r="C31" s="98">
        <f t="shared" si="1"/>
        <v>0.0990791109</v>
      </c>
      <c r="D31" s="24">
        <v>0.1</v>
      </c>
      <c r="E31" s="24">
        <f t="shared" si="3"/>
        <v>20400</v>
      </c>
      <c r="F31" s="142">
        <f t="shared" si="2"/>
        <v>0.003108530616</v>
      </c>
    </row>
    <row r="32" ht="14.25" customHeight="1">
      <c r="A32" s="24">
        <v>3000.0</v>
      </c>
      <c r="B32" s="24">
        <f>('属性输入'!$N$19+'属性输入'!$O$19*('属性输入'!$B$25+A32-'属性输入'!$E$11+'属性输入'!$F$25-'属性输入'!$R$25+'属性输入'!$N$25-'属性输入'!$K$11+'属性输入'!$S$27))*(1-'属性输入'!$P$25)*(1+'属性输入'!$K$27-'属性输入'!$O$11)+(1+'属性输入'!$M$27-'属性输入'!$O$11)*'属性输入'!$O$19*(1-'属性输入'!$S$25)*'属性输入'!$E$25</f>
        <v>18536.67505</v>
      </c>
      <c r="C32" s="98">
        <f t="shared" si="1"/>
        <v>0.102495632</v>
      </c>
      <c r="D32" s="24">
        <v>0.1</v>
      </c>
      <c r="E32" s="24">
        <f t="shared" si="3"/>
        <v>20500</v>
      </c>
      <c r="F32" s="142">
        <f t="shared" si="2"/>
        <v>0.003098897598</v>
      </c>
    </row>
    <row r="33" ht="14.25" customHeight="1">
      <c r="A33" s="24">
        <v>3100.0</v>
      </c>
      <c r="B33" s="24">
        <f>('属性输入'!$N$19+'属性输入'!$O$19*('属性输入'!$B$25+A33-'属性输入'!$E$11+'属性输入'!$F$25-'属性输入'!$R$25+'属性输入'!$N$25-'属性输入'!$K$11+'属性输入'!$S$27))*(1-'属性输入'!$P$25)*(1+'属性输入'!$K$27-'属性输入'!$O$11)+(1+'属性输入'!$M$27-'属性输入'!$O$11)*'属性输入'!$O$19*(1-'属性输入'!$S$25)*'属性输入'!$E$25</f>
        <v>18594.11831</v>
      </c>
      <c r="C33" s="98">
        <f t="shared" si="1"/>
        <v>0.105912153</v>
      </c>
      <c r="D33" s="24">
        <v>0.1</v>
      </c>
      <c r="E33" s="24">
        <f t="shared" si="3"/>
        <v>20600</v>
      </c>
      <c r="F33" s="142">
        <f t="shared" si="2"/>
        <v>0.003089324099</v>
      </c>
    </row>
    <row r="34" ht="14.25" customHeight="1">
      <c r="A34" s="24">
        <v>3200.0</v>
      </c>
      <c r="B34" s="24">
        <f>('属性输入'!$N$19+'属性输入'!$O$19*('属性输入'!$B$25+A34-'属性输入'!$E$11+'属性输入'!$F$25-'属性输入'!$R$25+'属性输入'!$N$25-'属性输入'!$K$11+'属性输入'!$S$27))*(1-'属性输入'!$P$25)*(1+'属性输入'!$K$27-'属性输入'!$O$11)+(1+'属性输入'!$M$27-'属性输入'!$O$11)*'属性输入'!$O$19*(1-'属性输入'!$S$25)*'属性输入'!$E$25</f>
        <v>18651.56157</v>
      </c>
      <c r="C34" s="98">
        <f t="shared" si="1"/>
        <v>0.1093286741</v>
      </c>
      <c r="D34" s="24">
        <v>0.1</v>
      </c>
      <c r="E34" s="24">
        <f t="shared" si="3"/>
        <v>20700</v>
      </c>
      <c r="F34" s="142">
        <f t="shared" si="2"/>
        <v>0.003079809569</v>
      </c>
    </row>
    <row r="35" ht="14.25" customHeight="1">
      <c r="A35" s="24">
        <v>3300.0</v>
      </c>
      <c r="B35" s="24">
        <f>('属性输入'!$N$19+'属性输入'!$O$19*('属性输入'!$B$25+A35-'属性输入'!$E$11+'属性输入'!$F$25-'属性输入'!$R$25+'属性输入'!$N$25-'属性输入'!$K$11+'属性输入'!$S$27))*(1-'属性输入'!$P$25)*(1+'属性输入'!$K$27-'属性输入'!$O$11)+(1+'属性输入'!$M$27-'属性输入'!$O$11)*'属性输入'!$O$19*(1-'属性输入'!$S$25)*'属性输入'!$E$25</f>
        <v>18709.00482</v>
      </c>
      <c r="C35" s="98">
        <f t="shared" si="1"/>
        <v>0.1127451952</v>
      </c>
      <c r="D35" s="24">
        <v>0.1</v>
      </c>
      <c r="E35" s="24">
        <f t="shared" si="3"/>
        <v>20800</v>
      </c>
      <c r="F35" s="142">
        <f t="shared" si="2"/>
        <v>0.003070353465</v>
      </c>
    </row>
    <row r="36" ht="14.25" customHeight="1">
      <c r="A36" s="24">
        <v>3400.0</v>
      </c>
      <c r="B36" s="24">
        <f>('属性输入'!$N$19+'属性输入'!$O$19*('属性输入'!$B$25+A36-'属性输入'!$E$11+'属性输入'!$F$25-'属性输入'!$R$25+'属性输入'!$N$25-'属性输入'!$K$11+'属性输入'!$S$27))*(1-'属性输入'!$P$25)*(1+'属性输入'!$K$27-'属性输入'!$O$11)+(1+'属性输入'!$M$27-'属性输入'!$O$11)*'属性输入'!$O$19*(1-'属性输入'!$S$25)*'属性输入'!$E$25</f>
        <v>18766.44808</v>
      </c>
      <c r="C36" s="98">
        <f t="shared" si="1"/>
        <v>0.1161617162</v>
      </c>
      <c r="D36" s="24">
        <v>0.1</v>
      </c>
      <c r="E36" s="24">
        <f t="shared" si="3"/>
        <v>20900</v>
      </c>
      <c r="F36" s="142">
        <f t="shared" si="2"/>
        <v>0.00306095525</v>
      </c>
    </row>
    <row r="37" ht="14.25" customHeight="1">
      <c r="A37" s="24">
        <v>3500.0</v>
      </c>
      <c r="B37" s="24">
        <f>('属性输入'!$N$19+'属性输入'!$O$19*('属性输入'!$B$25+A37-'属性输入'!$E$11+'属性输入'!$F$25-'属性输入'!$R$25+'属性输入'!$N$25-'属性输入'!$K$11+'属性输入'!$S$27))*(1-'属性输入'!$P$25)*(1+'属性输入'!$K$27-'属性输入'!$O$11)+(1+'属性输入'!$M$27-'属性输入'!$O$11)*'属性输入'!$O$19*(1-'属性输入'!$S$25)*'属性输入'!$E$25</f>
        <v>18823.89134</v>
      </c>
      <c r="C37" s="98">
        <f t="shared" si="1"/>
        <v>0.1195782373</v>
      </c>
      <c r="D37" s="24">
        <v>0.1</v>
      </c>
      <c r="E37" s="24">
        <f t="shared" si="3"/>
        <v>21000</v>
      </c>
      <c r="F37" s="142">
        <f t="shared" si="2"/>
        <v>0.003051614395</v>
      </c>
    </row>
    <row r="38" ht="14.25" customHeight="1">
      <c r="A38" s="24">
        <v>3600.0</v>
      </c>
      <c r="B38" s="24">
        <f>('属性输入'!$N$19+'属性输入'!$O$19*('属性输入'!$B$25+A38-'属性输入'!$E$11+'属性输入'!$F$25-'属性输入'!$R$25+'属性输入'!$N$25-'属性输入'!$K$11+'属性输入'!$S$27))*(1-'属性输入'!$P$25)*(1+'属性输入'!$K$27-'属性输入'!$O$11)+(1+'属性输入'!$M$27-'属性输入'!$O$11)*'属性输入'!$O$19*(1-'属性输入'!$S$25)*'属性输入'!$E$25</f>
        <v>18881.3346</v>
      </c>
      <c r="C38" s="98">
        <f t="shared" si="1"/>
        <v>0.1229947584</v>
      </c>
      <c r="D38" s="24">
        <v>0.1</v>
      </c>
      <c r="E38" s="24">
        <f t="shared" si="3"/>
        <v>21100</v>
      </c>
      <c r="F38" s="142">
        <f t="shared" si="2"/>
        <v>0.003042330376</v>
      </c>
    </row>
    <row r="39" ht="14.25" customHeight="1">
      <c r="A39" s="24">
        <v>3700.0</v>
      </c>
      <c r="B39" s="24">
        <f>('属性输入'!$N$19+'属性输入'!$O$19*('属性输入'!$B$25+A39-'属性输入'!$E$11+'属性输入'!$F$25-'属性输入'!$R$25+'属性输入'!$N$25-'属性输入'!$K$11+'属性输入'!$S$27))*(1-'属性输入'!$P$25)*(1+'属性输入'!$K$27-'属性输入'!$O$11)+(1+'属性输入'!$M$27-'属性输入'!$O$11)*'属性输入'!$O$19*(1-'属性输入'!$S$25)*'属性输入'!$E$25</f>
        <v>18938.77785</v>
      </c>
      <c r="C39" s="98">
        <f t="shared" si="1"/>
        <v>0.1264112794</v>
      </c>
      <c r="D39" s="24">
        <v>0.1</v>
      </c>
      <c r="E39" s="24">
        <f t="shared" si="3"/>
        <v>21200</v>
      </c>
      <c r="F39" s="142">
        <f t="shared" si="2"/>
        <v>0.003033102676</v>
      </c>
    </row>
    <row r="40" ht="14.25" customHeight="1">
      <c r="A40" s="24">
        <v>3800.0</v>
      </c>
      <c r="B40" s="24">
        <f>('属性输入'!$N$19+'属性输入'!$O$19*('属性输入'!$B$25+A40-'属性输入'!$E$11+'属性输入'!$F$25-'属性输入'!$R$25+'属性输入'!$N$25-'属性输入'!$K$11+'属性输入'!$S$27))*(1-'属性输入'!$P$25)*(1+'属性输入'!$K$27-'属性输入'!$O$11)+(1+'属性输入'!$M$27-'属性输入'!$O$11)*'属性输入'!$O$19*(1-'属性输入'!$S$25)*'属性输入'!$E$25</f>
        <v>18996.22111</v>
      </c>
      <c r="C40" s="98">
        <f t="shared" si="1"/>
        <v>0.1298278005</v>
      </c>
      <c r="D40" s="24">
        <v>0.1</v>
      </c>
      <c r="E40" s="24">
        <f t="shared" si="3"/>
        <v>21300</v>
      </c>
      <c r="F40" s="142">
        <f t="shared" si="2"/>
        <v>0.003023930783</v>
      </c>
    </row>
    <row r="41" ht="14.25" customHeight="1">
      <c r="A41" s="24">
        <v>3900.0</v>
      </c>
      <c r="B41" s="24">
        <f>('属性输入'!$N$19+'属性输入'!$O$19*('属性输入'!$B$25+A41-'属性输入'!$E$11+'属性输入'!$F$25-'属性输入'!$R$25+'属性输入'!$N$25-'属性输入'!$K$11+'属性输入'!$S$27))*(1-'属性输入'!$P$25)*(1+'属性输入'!$K$27-'属性输入'!$O$11)+(1+'属性输入'!$M$27-'属性输入'!$O$11)*'属性输入'!$O$19*(1-'属性输入'!$S$25)*'属性输入'!$E$25</f>
        <v>19053.66437</v>
      </c>
      <c r="C41" s="98">
        <f t="shared" si="1"/>
        <v>0.1332443216</v>
      </c>
      <c r="D41" s="24">
        <v>0.1</v>
      </c>
      <c r="E41" s="24">
        <f t="shared" si="3"/>
        <v>21400</v>
      </c>
      <c r="F41" s="142">
        <f t="shared" si="2"/>
        <v>0.003014814194</v>
      </c>
    </row>
    <row r="42" ht="14.25" customHeight="1">
      <c r="A42" s="24">
        <v>4000.0</v>
      </c>
      <c r="B42" s="24">
        <f>('属性输入'!$N$19+'属性输入'!$O$19*('属性输入'!$B$25+A42-'属性输入'!$E$11+'属性输入'!$F$25-'属性输入'!$R$25+'属性输入'!$N$25-'属性输入'!$K$11+'属性输入'!$S$27))*(1-'属性输入'!$P$25)*(1+'属性输入'!$K$27-'属性输入'!$O$11)+(1+'属性输入'!$M$27-'属性输入'!$O$11)*'属性输入'!$O$19*(1-'属性输入'!$S$25)*'属性输入'!$E$25</f>
        <v>19111.10763</v>
      </c>
      <c r="C42" s="98">
        <f t="shared" si="1"/>
        <v>0.1366608426</v>
      </c>
      <c r="D42" s="24">
        <v>0.1</v>
      </c>
      <c r="E42" s="24">
        <f t="shared" si="3"/>
        <v>21500</v>
      </c>
      <c r="F42" s="142">
        <f t="shared" si="2"/>
        <v>0.003005752409</v>
      </c>
    </row>
    <row r="43" ht="14.25" customHeight="1">
      <c r="A43" s="24">
        <v>4100.0</v>
      </c>
      <c r="B43" s="24">
        <f>('属性输入'!$N$19+'属性输入'!$O$19*('属性输入'!$B$25+A43-'属性输入'!$E$11+'属性输入'!$F$25-'属性输入'!$R$25+'属性输入'!$N$25-'属性输入'!$K$11+'属性输入'!$S$27))*(1-'属性输入'!$P$25)*(1+'属性输入'!$K$27-'属性输入'!$O$11)+(1+'属性输入'!$M$27-'属性输入'!$O$11)*'属性输入'!$O$19*(1-'属性输入'!$S$25)*'属性输入'!$E$25</f>
        <v>19168.55089</v>
      </c>
      <c r="C43" s="98">
        <f t="shared" si="1"/>
        <v>0.1400773637</v>
      </c>
      <c r="D43" s="24">
        <v>0.1</v>
      </c>
      <c r="E43" s="24">
        <f t="shared" si="3"/>
        <v>21600</v>
      </c>
      <c r="F43" s="142">
        <f t="shared" si="2"/>
        <v>0.002996744935</v>
      </c>
    </row>
    <row r="44" ht="14.25" customHeight="1">
      <c r="A44" s="24">
        <v>4200.0</v>
      </c>
      <c r="B44" s="24">
        <f>('属性输入'!$N$19+'属性输入'!$O$19*('属性输入'!$B$25+A44-'属性输入'!$E$11+'属性输入'!$F$25-'属性输入'!$R$25+'属性输入'!$N$25-'属性输入'!$K$11+'属性输入'!$S$27))*(1-'属性输入'!$P$25)*(1+'属性输入'!$K$27-'属性输入'!$O$11)+(1+'属性输入'!$M$27-'属性输入'!$O$11)*'属性输入'!$O$19*(1-'属性输入'!$S$25)*'属性输入'!$E$25</f>
        <v>19225.99414</v>
      </c>
      <c r="C44" s="98">
        <f t="shared" si="1"/>
        <v>0.1434938848</v>
      </c>
      <c r="D44" s="24">
        <v>0.1</v>
      </c>
      <c r="E44" s="24">
        <f t="shared" si="3"/>
        <v>21700</v>
      </c>
      <c r="F44" s="142">
        <f t="shared" si="2"/>
        <v>0.002987791287</v>
      </c>
    </row>
    <row r="45" ht="14.25" customHeight="1">
      <c r="A45" s="24">
        <v>4300.0</v>
      </c>
      <c r="B45" s="24">
        <f>('属性输入'!$N$19+'属性输入'!$O$19*('属性输入'!$B$25+A45-'属性输入'!$E$11+'属性输入'!$F$25-'属性输入'!$R$25+'属性输入'!$N$25-'属性输入'!$K$11+'属性输入'!$S$27))*(1-'属性输入'!$P$25)*(1+'属性输入'!$K$27-'属性输入'!$O$11)+(1+'属性输入'!$M$27-'属性输入'!$O$11)*'属性输入'!$O$19*(1-'属性输入'!$S$25)*'属性输入'!$E$25</f>
        <v>19283.4374</v>
      </c>
      <c r="C45" s="98">
        <f t="shared" si="1"/>
        <v>0.1469104058</v>
      </c>
      <c r="D45" s="24">
        <v>0.1</v>
      </c>
      <c r="E45" s="24">
        <f t="shared" si="3"/>
        <v>21800</v>
      </c>
      <c r="F45" s="142">
        <f t="shared" si="2"/>
        <v>0.002978890982</v>
      </c>
    </row>
    <row r="46" ht="14.25" customHeight="1">
      <c r="A46" s="24">
        <v>4400.0</v>
      </c>
      <c r="B46" s="24">
        <f>('属性输入'!$N$19+'属性输入'!$O$19*('属性输入'!$B$25+A46-'属性输入'!$E$11+'属性输入'!$F$25-'属性输入'!$R$25+'属性输入'!$N$25-'属性输入'!$K$11+'属性输入'!$S$27))*(1-'属性输入'!$P$25)*(1+'属性输入'!$K$27-'属性输入'!$O$11)+(1+'属性输入'!$M$27-'属性输入'!$O$11)*'属性输入'!$O$19*(1-'属性输入'!$S$25)*'属性输入'!$E$25</f>
        <v>19340.88066</v>
      </c>
      <c r="C46" s="98">
        <f t="shared" si="1"/>
        <v>0.1503269269</v>
      </c>
      <c r="D46" s="24">
        <v>0.1</v>
      </c>
      <c r="E46" s="24">
        <f t="shared" si="3"/>
        <v>21900</v>
      </c>
      <c r="F46" s="142">
        <f t="shared" si="2"/>
        <v>0.002970043547</v>
      </c>
    </row>
    <row r="47" ht="14.25" customHeight="1">
      <c r="A47" s="24">
        <v>4500.0</v>
      </c>
      <c r="B47" s="24">
        <f>('属性输入'!$N$19+'属性输入'!$O$19*('属性输入'!$B$25+A47-'属性输入'!$E$11+'属性输入'!$F$25-'属性输入'!$R$25+'属性输入'!$N$25-'属性输入'!$K$11+'属性输入'!$S$27))*(1-'属性输入'!$P$25)*(1+'属性输入'!$K$27-'属性输入'!$O$11)+(1+'属性输入'!$M$27-'属性输入'!$O$11)*'属性输入'!$O$19*(1-'属性输入'!$S$25)*'属性输入'!$E$25</f>
        <v>19398.32392</v>
      </c>
      <c r="C47" s="98">
        <f t="shared" si="1"/>
        <v>0.153743448</v>
      </c>
      <c r="D47" s="24">
        <v>0.1</v>
      </c>
      <c r="E47" s="24">
        <f t="shared" si="3"/>
        <v>22000</v>
      </c>
      <c r="F47" s="142">
        <f t="shared" si="2"/>
        <v>0.002961248509</v>
      </c>
    </row>
    <row r="48" ht="14.25" customHeight="1">
      <c r="A48" s="24">
        <v>4600.0</v>
      </c>
      <c r="B48" s="24">
        <f>('属性输入'!$N$19+'属性输入'!$O$19*('属性输入'!$B$25+A48-'属性输入'!$E$11+'属性输入'!$F$25-'属性输入'!$R$25+'属性输入'!$N$25-'属性输入'!$K$11+'属性输入'!$S$27))*(1-'属性输入'!$P$25)*(1+'属性输入'!$K$27-'属性输入'!$O$11)+(1+'属性输入'!$M$27-'属性输入'!$O$11)*'属性输入'!$O$19*(1-'属性输入'!$S$25)*'属性输入'!$E$25</f>
        <v>19455.76717</v>
      </c>
      <c r="C48" s="98">
        <f t="shared" si="1"/>
        <v>0.157159969</v>
      </c>
      <c r="D48" s="24">
        <v>0.1</v>
      </c>
      <c r="E48" s="24">
        <f t="shared" si="3"/>
        <v>22100</v>
      </c>
      <c r="F48" s="142">
        <f t="shared" si="2"/>
        <v>0.002952505407</v>
      </c>
    </row>
    <row r="49" ht="14.25" customHeight="1">
      <c r="A49" s="24">
        <v>4700.0</v>
      </c>
      <c r="B49" s="24">
        <f>('属性输入'!$N$19+'属性输入'!$O$19*('属性输入'!$B$25+A49-'属性输入'!$E$11+'属性输入'!$F$25-'属性输入'!$R$25+'属性输入'!$N$25-'属性输入'!$K$11+'属性输入'!$S$27))*(1-'属性输入'!$P$25)*(1+'属性输入'!$K$27-'属性输入'!$O$11)+(1+'属性输入'!$M$27-'属性输入'!$O$11)*'属性输入'!$O$19*(1-'属性输入'!$S$25)*'属性输入'!$E$25</f>
        <v>19513.21043</v>
      </c>
      <c r="C49" s="98">
        <f t="shared" si="1"/>
        <v>0.1605764901</v>
      </c>
      <c r="D49" s="24">
        <v>0.1</v>
      </c>
      <c r="E49" s="24">
        <f t="shared" si="3"/>
        <v>22200</v>
      </c>
      <c r="F49" s="142">
        <f t="shared" si="2"/>
        <v>0.002943813781</v>
      </c>
    </row>
    <row r="50" ht="14.25" customHeight="1">
      <c r="A50" s="24">
        <v>4800.0</v>
      </c>
      <c r="B50" s="24">
        <f>('属性输入'!$N$19+'属性输入'!$O$19*('属性输入'!$B$25+A50-'属性输入'!$E$11+'属性输入'!$F$25-'属性输入'!$R$25+'属性输入'!$N$25-'属性输入'!$K$11+'属性输入'!$S$27))*(1-'属性输入'!$P$25)*(1+'属性输入'!$K$27-'属性输入'!$O$11)+(1+'属性输入'!$M$27-'属性输入'!$O$11)*'属性输入'!$O$19*(1-'属性输入'!$S$25)*'属性输入'!$E$25</f>
        <v>19570.65369</v>
      </c>
      <c r="C50" s="98">
        <f t="shared" si="1"/>
        <v>0.1639930111</v>
      </c>
      <c r="D50" s="24">
        <v>0.1</v>
      </c>
      <c r="E50" s="24">
        <f t="shared" si="3"/>
        <v>22300</v>
      </c>
      <c r="F50" s="142">
        <f t="shared" si="2"/>
        <v>0.002935173178</v>
      </c>
    </row>
    <row r="51" ht="14.25" customHeight="1">
      <c r="A51" s="24">
        <v>4900.0</v>
      </c>
      <c r="B51" s="24">
        <f>('属性输入'!$N$19+'属性输入'!$O$19*('属性输入'!$B$25+A51-'属性输入'!$E$11+'属性输入'!$F$25-'属性输入'!$R$25+'属性输入'!$N$25-'属性输入'!$K$11+'属性输入'!$S$27))*(1-'属性输入'!$P$25)*(1+'属性输入'!$K$27-'属性输入'!$O$11)+(1+'属性输入'!$M$27-'属性输入'!$O$11)*'属性输入'!$O$19*(1-'属性输入'!$S$25)*'属性输入'!$E$25</f>
        <v>19628.09695</v>
      </c>
      <c r="C51" s="98">
        <f t="shared" si="1"/>
        <v>0.1674095322</v>
      </c>
      <c r="D51" s="24">
        <v>0.1</v>
      </c>
      <c r="E51" s="24">
        <f t="shared" si="3"/>
        <v>22400</v>
      </c>
      <c r="F51" s="142">
        <f t="shared" si="2"/>
        <v>0.00292658315</v>
      </c>
    </row>
    <row r="52" ht="14.25" customHeight="1">
      <c r="A52" s="24">
        <v>5000.0</v>
      </c>
      <c r="B52" s="24">
        <f>('属性输入'!$N$19+'属性输入'!$O$19*('属性输入'!$B$25+A52-'属性输入'!$E$11+'属性输入'!$F$25-'属性输入'!$R$25+'属性输入'!$N$25-'属性输入'!$K$11+'属性输入'!$S$27))*(1-'属性输入'!$P$25)*(1+'属性输入'!$K$27-'属性输入'!$O$11)+(1+'属性输入'!$M$27-'属性输入'!$O$11)*'属性输入'!$O$19*(1-'属性输入'!$S$25)*'属性输入'!$E$25</f>
        <v>19685.54021</v>
      </c>
      <c r="C52" s="98">
        <f t="shared" si="1"/>
        <v>0.1708260533</v>
      </c>
      <c r="D52" s="24">
        <v>0.1</v>
      </c>
      <c r="E52" s="24">
        <f t="shared" si="3"/>
        <v>22500</v>
      </c>
      <c r="F52" s="142">
        <f t="shared" si="2"/>
        <v>0.002918043253</v>
      </c>
    </row>
    <row r="53" ht="14.25" customHeight="1">
      <c r="A53" s="24">
        <v>5100.0</v>
      </c>
      <c r="B53" s="24">
        <f>('属性输入'!$N$19+'属性输入'!$O$19*('属性输入'!$B$25+A53-'属性输入'!$E$11+'属性输入'!$F$25-'属性输入'!$R$25+'属性输入'!$N$25-'属性输入'!$K$11+'属性输入'!$S$27))*(1-'属性输入'!$P$25)*(1+'属性输入'!$K$27-'属性输入'!$O$11)+(1+'属性输入'!$M$27-'属性输入'!$O$11)*'属性输入'!$O$19*(1-'属性输入'!$S$25)*'属性输入'!$E$25</f>
        <v>19742.98346</v>
      </c>
      <c r="C53" s="98">
        <f t="shared" si="1"/>
        <v>0.1742425743</v>
      </c>
      <c r="D53" s="24">
        <v>0.1</v>
      </c>
      <c r="E53" s="24">
        <f t="shared" si="3"/>
        <v>22600</v>
      </c>
      <c r="F53" s="142">
        <f t="shared" si="2"/>
        <v>0.002909553052</v>
      </c>
    </row>
    <row r="54" ht="14.25" customHeight="1">
      <c r="A54" s="24">
        <v>5200.0</v>
      </c>
      <c r="B54" s="24">
        <f>('属性输入'!$N$19+'属性输入'!$O$19*('属性输入'!$B$25+A54-'属性输入'!$E$11+'属性输入'!$F$25-'属性输入'!$R$25+'属性输入'!$N$25-'属性输入'!$K$11+'属性输入'!$S$27))*(1-'属性输入'!$P$25)*(1+'属性输入'!$K$27-'属性输入'!$O$11)+(1+'属性输入'!$M$27-'属性输入'!$O$11)*'属性输入'!$O$19*(1-'属性输入'!$S$25)*'属性输入'!$E$25</f>
        <v>19800.42672</v>
      </c>
      <c r="C54" s="98">
        <f t="shared" si="1"/>
        <v>0.1776590954</v>
      </c>
      <c r="D54" s="24">
        <v>0.1</v>
      </c>
      <c r="E54" s="24">
        <f t="shared" si="3"/>
        <v>22700</v>
      </c>
      <c r="F54" s="142">
        <f t="shared" si="2"/>
        <v>0.002901112112</v>
      </c>
    </row>
    <row r="55" ht="14.25" customHeight="1">
      <c r="A55" s="24">
        <v>5300.0</v>
      </c>
      <c r="B55" s="24">
        <f>('属性输入'!$N$19+'属性输入'!$O$19*('属性输入'!$B$25+A55-'属性输入'!$E$11+'属性输入'!$F$25-'属性输入'!$R$25+'属性输入'!$N$25-'属性输入'!$K$11+'属性输入'!$S$27))*(1-'属性输入'!$P$25)*(1+'属性输入'!$K$27-'属性输入'!$O$11)+(1+'属性输入'!$M$27-'属性输入'!$O$11)*'属性输入'!$O$19*(1-'属性输入'!$S$25)*'属性输入'!$E$25</f>
        <v>19857.86998</v>
      </c>
      <c r="C55" s="98">
        <f t="shared" si="1"/>
        <v>0.1810756165</v>
      </c>
      <c r="D55" s="24">
        <v>0.1</v>
      </c>
      <c r="E55" s="24">
        <f t="shared" si="3"/>
        <v>22800</v>
      </c>
      <c r="F55" s="142">
        <f t="shared" si="2"/>
        <v>0.002892720007</v>
      </c>
    </row>
    <row r="56" ht="14.25" customHeight="1">
      <c r="A56" s="24">
        <v>5400.0</v>
      </c>
      <c r="B56" s="24">
        <f>('属性输入'!$N$19+'属性输入'!$O$19*('属性输入'!$B$25+A56-'属性输入'!$E$11+'属性输入'!$F$25-'属性输入'!$R$25+'属性输入'!$N$25-'属性输入'!$K$11+'属性输入'!$S$27))*(1-'属性输入'!$P$25)*(1+'属性输入'!$K$27-'属性输入'!$O$11)+(1+'属性输入'!$M$27-'属性输入'!$O$11)*'属性输入'!$O$19*(1-'属性输入'!$S$25)*'属性输入'!$E$25</f>
        <v>19915.31324</v>
      </c>
      <c r="C56" s="98">
        <f t="shared" si="1"/>
        <v>0.1844921375</v>
      </c>
      <c r="D56" s="24">
        <v>0.1</v>
      </c>
      <c r="E56" s="24">
        <f t="shared" si="3"/>
        <v>22900</v>
      </c>
      <c r="F56" s="142">
        <f t="shared" si="2"/>
        <v>0.002884376314</v>
      </c>
    </row>
    <row r="57" ht="14.25" customHeight="1">
      <c r="A57" s="24">
        <v>5500.0</v>
      </c>
      <c r="B57" s="24">
        <f>('属性输入'!$N$19+'属性输入'!$O$19*('属性输入'!$B$25+A57-'属性输入'!$E$11+'属性输入'!$F$25-'属性输入'!$R$25+'属性输入'!$N$25-'属性输入'!$K$11+'属性输入'!$S$27))*(1-'属性输入'!$P$25)*(1+'属性输入'!$K$27-'属性输入'!$O$11)+(1+'属性输入'!$M$27-'属性输入'!$O$11)*'属性输入'!$O$19*(1-'属性输入'!$S$25)*'属性输入'!$E$25</f>
        <v>19972.75649</v>
      </c>
      <c r="C57" s="98">
        <f t="shared" si="1"/>
        <v>0.1879086586</v>
      </c>
      <c r="D57" s="24">
        <v>0.1</v>
      </c>
      <c r="E57" s="24">
        <f t="shared" si="3"/>
        <v>23000</v>
      </c>
      <c r="F57" s="142">
        <f t="shared" si="2"/>
        <v>0.002876080615</v>
      </c>
    </row>
    <row r="58" ht="14.25" customHeight="1">
      <c r="A58" s="24">
        <v>5600.0</v>
      </c>
      <c r="B58" s="24">
        <f>('属性输入'!$N$19+'属性输入'!$O$19*('属性输入'!$B$25+A58-'属性输入'!$E$11+'属性输入'!$F$25-'属性输入'!$R$25+'属性输入'!$N$25-'属性输入'!$K$11+'属性输入'!$S$27))*(1-'属性输入'!$P$25)*(1+'属性输入'!$K$27-'属性输入'!$O$11)+(1+'属性输入'!$M$27-'属性输入'!$O$11)*'属性输入'!$O$19*(1-'属性输入'!$S$25)*'属性输入'!$E$25</f>
        <v>20030.19975</v>
      </c>
      <c r="C58" s="98">
        <f t="shared" si="1"/>
        <v>0.1913251797</v>
      </c>
      <c r="D58" s="24">
        <v>0.1</v>
      </c>
      <c r="E58" s="24">
        <f t="shared" si="3"/>
        <v>23100</v>
      </c>
      <c r="F58" s="142">
        <f t="shared" si="2"/>
        <v>0.002867832498</v>
      </c>
    </row>
    <row r="59" ht="14.25" customHeight="1">
      <c r="A59" s="24">
        <v>5700.0</v>
      </c>
      <c r="B59" s="24">
        <f>('属性输入'!$N$19+'属性输入'!$O$19*('属性输入'!$B$25+A59-'属性输入'!$E$11+'属性输入'!$F$25-'属性输入'!$R$25+'属性输入'!$N$25-'属性输入'!$K$11+'属性输入'!$S$27))*(1-'属性输入'!$P$25)*(1+'属性输入'!$K$27-'属性输入'!$O$11)+(1+'属性输入'!$M$27-'属性输入'!$O$11)*'属性输入'!$O$19*(1-'属性输入'!$S$25)*'属性输入'!$E$25</f>
        <v>20087.64301</v>
      </c>
      <c r="C59" s="98">
        <f t="shared" si="1"/>
        <v>0.1947417007</v>
      </c>
      <c r="D59" s="24">
        <v>0.1</v>
      </c>
      <c r="E59" s="24">
        <f t="shared" si="3"/>
        <v>23200</v>
      </c>
      <c r="F59" s="142">
        <f t="shared" si="2"/>
        <v>0.002859631553</v>
      </c>
    </row>
    <row r="60" ht="14.25" customHeight="1">
      <c r="A60" s="24">
        <v>5800.0</v>
      </c>
      <c r="B60" s="24">
        <f>('属性输入'!$N$19+'属性输入'!$O$19*('属性输入'!$B$25+A60-'属性输入'!$E$11+'属性输入'!$F$25-'属性输入'!$R$25+'属性输入'!$N$25-'属性输入'!$K$11+'属性输入'!$S$27))*(1-'属性输入'!$P$25)*(1+'属性输入'!$K$27-'属性输入'!$O$11)+(1+'属性输入'!$M$27-'属性输入'!$O$11)*'属性输入'!$O$19*(1-'属性输入'!$S$25)*'属性输入'!$E$25</f>
        <v>20145.08627</v>
      </c>
      <c r="C60" s="98">
        <f t="shared" si="1"/>
        <v>0.1981582218</v>
      </c>
      <c r="D60" s="24">
        <v>0.1</v>
      </c>
      <c r="E60" s="24">
        <f t="shared" si="3"/>
        <v>23300</v>
      </c>
      <c r="F60" s="142">
        <f t="shared" si="2"/>
        <v>0.002851477379</v>
      </c>
    </row>
    <row r="61" ht="14.25" customHeight="1">
      <c r="A61" s="24">
        <v>5900.0</v>
      </c>
      <c r="B61" s="24">
        <f>('属性输入'!$N$19+'属性输入'!$O$19*('属性输入'!$B$25+A61-'属性输入'!$E$11+'属性输入'!$F$25-'属性输入'!$R$25+'属性输入'!$N$25-'属性输入'!$K$11+'属性输入'!$S$27))*(1-'属性输入'!$P$25)*(1+'属性输入'!$K$27-'属性输入'!$O$11)+(1+'属性输入'!$M$27-'属性输入'!$O$11)*'属性输入'!$O$19*(1-'属性输入'!$S$25)*'属性输入'!$E$25</f>
        <v>20202.52953</v>
      </c>
      <c r="C61" s="98">
        <f t="shared" si="1"/>
        <v>0.2015747429</v>
      </c>
      <c r="D61" s="24">
        <v>0.1</v>
      </c>
      <c r="E61" s="24">
        <f t="shared" si="3"/>
        <v>23400</v>
      </c>
      <c r="F61" s="142">
        <f t="shared" si="2"/>
        <v>0.002843369575</v>
      </c>
    </row>
    <row r="62" ht="14.25" customHeight="1">
      <c r="A62" s="24">
        <v>6000.0</v>
      </c>
      <c r="B62" s="24">
        <f>('属性输入'!$N$19+'属性输入'!$O$19*('属性输入'!$B$25+A62-'属性输入'!$E$11+'属性输入'!$F$25-'属性输入'!$R$25+'属性输入'!$N$25-'属性输入'!$K$11+'属性输入'!$S$27))*(1-'属性输入'!$P$25)*(1+'属性输入'!$K$27-'属性输入'!$O$11)+(1+'属性输入'!$M$27-'属性输入'!$O$11)*'属性输入'!$O$19*(1-'属性输入'!$S$25)*'属性输入'!$E$25</f>
        <v>20259.97278</v>
      </c>
      <c r="C62" s="98">
        <f t="shared" si="1"/>
        <v>0.2049912639</v>
      </c>
      <c r="D62" s="24">
        <v>0.1</v>
      </c>
      <c r="E62" s="24">
        <f t="shared" si="3"/>
        <v>23500</v>
      </c>
      <c r="F62" s="142">
        <f t="shared" si="2"/>
        <v>0.002835307747</v>
      </c>
    </row>
    <row r="63" ht="14.25" customHeight="1">
      <c r="A63" s="24">
        <v>6100.0</v>
      </c>
      <c r="B63" s="24">
        <f>('属性输入'!$N$19+'属性输入'!$O$19*('属性输入'!$B$25+A63-'属性输入'!$E$11+'属性输入'!$F$25-'属性输入'!$R$25+'属性输入'!$N$25-'属性输入'!$K$11+'属性输入'!$S$27))*(1-'属性输入'!$P$25)*(1+'属性输入'!$K$27-'属性输入'!$O$11)+(1+'属性输入'!$M$27-'属性输入'!$O$11)*'属性输入'!$O$19*(1-'属性输入'!$S$25)*'属性输入'!$E$25</f>
        <v>20317.41604</v>
      </c>
      <c r="C63" s="98">
        <f t="shared" si="1"/>
        <v>0.208407785</v>
      </c>
      <c r="D63" s="24">
        <v>0.1</v>
      </c>
      <c r="E63" s="24">
        <f t="shared" si="3"/>
        <v>23600</v>
      </c>
      <c r="F63" s="142">
        <f t="shared" si="2"/>
        <v>0.002827291505</v>
      </c>
    </row>
    <row r="64" ht="14.25" customHeight="1">
      <c r="A64" s="24">
        <v>6200.0</v>
      </c>
      <c r="B64" s="24">
        <f>('属性输入'!$N$19+'属性输入'!$O$19*('属性输入'!$B$25+A64-'属性输入'!$E$11+'属性输入'!$F$25-'属性输入'!$R$25+'属性输入'!$N$25-'属性输入'!$K$11+'属性输入'!$S$27))*(1-'属性输入'!$P$25)*(1+'属性输入'!$K$27-'属性输入'!$O$11)+(1+'属性输入'!$M$27-'属性输入'!$O$11)*'属性输入'!$O$19*(1-'属性输入'!$S$25)*'属性输入'!$E$25</f>
        <v>20374.8593</v>
      </c>
      <c r="C64" s="98">
        <f t="shared" si="1"/>
        <v>0.2118243061</v>
      </c>
      <c r="D64" s="24">
        <v>0.1</v>
      </c>
      <c r="E64" s="24">
        <f t="shared" si="3"/>
        <v>23700</v>
      </c>
      <c r="F64" s="142">
        <f t="shared" si="2"/>
        <v>0.002819320465</v>
      </c>
    </row>
    <row r="65" ht="14.25" customHeight="1">
      <c r="A65" s="24">
        <v>6300.0</v>
      </c>
      <c r="B65" s="24">
        <f>('属性输入'!$N$19+'属性输入'!$O$19*('属性输入'!$B$25+A65-'属性输入'!$E$11+'属性输入'!$F$25-'属性输入'!$R$25+'属性输入'!$N$25-'属性输入'!$K$11+'属性输入'!$S$27))*(1-'属性输入'!$P$25)*(1+'属性输入'!$K$27-'属性输入'!$O$11)+(1+'属性输入'!$M$27-'属性输入'!$O$11)*'属性输入'!$O$19*(1-'属性输入'!$S$25)*'属性输入'!$E$25</f>
        <v>20432.30256</v>
      </c>
      <c r="C65" s="98">
        <f t="shared" si="1"/>
        <v>0.2152408271</v>
      </c>
      <c r="D65" s="24">
        <v>0.1</v>
      </c>
      <c r="E65" s="24">
        <f t="shared" si="3"/>
        <v>23800</v>
      </c>
      <c r="F65" s="142">
        <f t="shared" si="2"/>
        <v>0.002811394243</v>
      </c>
    </row>
    <row r="66" ht="14.25" customHeight="1">
      <c r="A66" s="24">
        <v>6400.0</v>
      </c>
      <c r="B66" s="24">
        <f>('属性输入'!$N$19+'属性输入'!$O$19*('属性输入'!$B$25+A66-'属性输入'!$E$11+'属性输入'!$F$25-'属性输入'!$R$25+'属性输入'!$N$25-'属性输入'!$K$11+'属性输入'!$S$27))*(1-'属性输入'!$P$25)*(1+'属性输入'!$K$27-'属性输入'!$O$11)+(1+'属性输入'!$M$27-'属性输入'!$O$11)*'属性输入'!$O$19*(1-'属性输入'!$S$25)*'属性输入'!$E$25</f>
        <v>20489.74581</v>
      </c>
      <c r="C66" s="98">
        <f t="shared" si="1"/>
        <v>0.2186573482</v>
      </c>
      <c r="D66" s="24">
        <v>0.1</v>
      </c>
      <c r="E66" s="24">
        <f t="shared" si="3"/>
        <v>23900</v>
      </c>
      <c r="F66" s="142">
        <f t="shared" si="2"/>
        <v>0.002803512464</v>
      </c>
    </row>
    <row r="67" ht="14.25" customHeight="1">
      <c r="A67" s="24">
        <v>6500.0</v>
      </c>
      <c r="B67" s="24">
        <f>('属性输入'!$N$19+'属性输入'!$O$19*('属性输入'!$B$25+A67-'属性输入'!$E$11+'属性输入'!$F$25-'属性输入'!$R$25+'属性输入'!$N$25-'属性输入'!$K$11+'属性输入'!$S$27))*(1-'属性输入'!$P$25)*(1+'属性输入'!$K$27-'属性输入'!$O$11)+(1+'属性输入'!$M$27-'属性输入'!$O$11)*'属性输入'!$O$19*(1-'属性输入'!$S$25)*'属性输入'!$E$25</f>
        <v>20547.18907</v>
      </c>
      <c r="C67" s="98">
        <f t="shared" si="1"/>
        <v>0.2220738693</v>
      </c>
      <c r="D67" s="24">
        <v>0.1</v>
      </c>
      <c r="E67" s="24">
        <f t="shared" si="3"/>
        <v>24000</v>
      </c>
      <c r="F67" s="142">
        <f t="shared" si="2"/>
        <v>0.002795674755</v>
      </c>
    </row>
    <row r="68" ht="14.25" customHeight="1">
      <c r="A68" s="24">
        <v>6600.0</v>
      </c>
      <c r="B68" s="24">
        <f>('属性输入'!$N$19+'属性输入'!$O$19*('属性输入'!$B$25+A68-'属性输入'!$E$11+'属性输入'!$F$25-'属性输入'!$R$25+'属性输入'!$N$25-'属性输入'!$K$11+'属性输入'!$S$27))*(1-'属性输入'!$P$25)*(1+'属性输入'!$K$27-'属性输入'!$O$11)+(1+'属性输入'!$M$27-'属性输入'!$O$11)*'属性输入'!$O$19*(1-'属性输入'!$S$25)*'属性输入'!$E$25</f>
        <v>20604.63233</v>
      </c>
      <c r="C68" s="98">
        <f t="shared" si="1"/>
        <v>0.2254903903</v>
      </c>
      <c r="D68" s="24">
        <v>0.1</v>
      </c>
      <c r="E68" s="24">
        <f t="shared" si="3"/>
        <v>24100</v>
      </c>
      <c r="F68" s="142">
        <f t="shared" si="2"/>
        <v>0.002787880748</v>
      </c>
    </row>
    <row r="69" ht="14.25" customHeight="1">
      <c r="A69" s="24">
        <v>6700.0</v>
      </c>
      <c r="B69" s="24">
        <f>('属性输入'!$N$19+'属性输入'!$O$19*('属性输入'!$B$25+A69-'属性输入'!$E$11+'属性输入'!$F$25-'属性输入'!$R$25+'属性输入'!$N$25-'属性输入'!$K$11+'属性输入'!$S$27))*(1-'属性输入'!$P$25)*(1+'属性输入'!$K$27-'属性输入'!$O$11)+(1+'属性输入'!$M$27-'属性输入'!$O$11)*'属性输入'!$O$19*(1-'属性输入'!$S$25)*'属性输入'!$E$25</f>
        <v>20662.07559</v>
      </c>
      <c r="C69" s="98">
        <f t="shared" si="1"/>
        <v>0.2289069114</v>
      </c>
      <c r="D69" s="24">
        <v>0.1</v>
      </c>
      <c r="E69" s="24">
        <f t="shared" si="3"/>
        <v>24200</v>
      </c>
      <c r="F69" s="142">
        <f t="shared" si="2"/>
        <v>0.002780130076</v>
      </c>
    </row>
    <row r="70" ht="14.25" customHeight="1">
      <c r="A70" s="24">
        <v>6800.0</v>
      </c>
      <c r="B70" s="24">
        <f>('属性输入'!$N$19+'属性输入'!$O$19*('属性输入'!$B$25+A70-'属性输入'!$E$11+'属性输入'!$F$25-'属性输入'!$R$25+'属性输入'!$N$25-'属性输入'!$K$11+'属性输入'!$S$27))*(1-'属性输入'!$P$25)*(1+'属性输入'!$K$27-'属性输入'!$O$11)+(1+'属性输入'!$M$27-'属性输入'!$O$11)*'属性输入'!$O$19*(1-'属性输入'!$S$25)*'属性输入'!$E$25</f>
        <v>20719.51885</v>
      </c>
      <c r="C70" s="98">
        <f t="shared" si="1"/>
        <v>0.2323234325</v>
      </c>
      <c r="D70" s="24">
        <v>0.1</v>
      </c>
      <c r="E70" s="24">
        <f t="shared" si="3"/>
        <v>24300</v>
      </c>
      <c r="F70" s="142">
        <f t="shared" si="2"/>
        <v>0.002772422382</v>
      </c>
    </row>
    <row r="71" ht="14.25" customHeight="1">
      <c r="A71" s="24">
        <v>6900.0</v>
      </c>
      <c r="B71" s="24">
        <f>('属性输入'!$N$19+'属性输入'!$O$19*('属性输入'!$B$25+A71-'属性输入'!$E$11+'属性输入'!$F$25-'属性输入'!$R$25+'属性输入'!$N$25-'属性输入'!$K$11+'属性输入'!$S$27))*(1-'属性输入'!$P$25)*(1+'属性输入'!$K$27-'属性输入'!$O$11)+(1+'属性输入'!$M$27-'属性输入'!$O$11)*'属性输入'!$O$19*(1-'属性输入'!$S$25)*'属性输入'!$E$25</f>
        <v>20776.9621</v>
      </c>
      <c r="C71" s="98">
        <f t="shared" si="1"/>
        <v>0.2357399535</v>
      </c>
      <c r="D71" s="24">
        <v>0.1</v>
      </c>
      <c r="E71" s="24">
        <f t="shared" si="3"/>
        <v>24400</v>
      </c>
      <c r="F71" s="142">
        <f t="shared" si="2"/>
        <v>0.002764757307</v>
      </c>
    </row>
    <row r="72" ht="14.25" customHeight="1">
      <c r="A72" s="24">
        <v>7000.0</v>
      </c>
      <c r="B72" s="24">
        <f>('属性输入'!$N$19+'属性输入'!$O$19*('属性输入'!$B$25+A72-'属性输入'!$E$11+'属性输入'!$F$25-'属性输入'!$R$25+'属性输入'!$N$25-'属性输入'!$K$11+'属性输入'!$S$27))*(1-'属性输入'!$P$25)*(1+'属性输入'!$K$27-'属性输入'!$O$11)+(1+'属性输入'!$M$27-'属性输入'!$O$11)*'属性输入'!$O$19*(1-'属性输入'!$S$25)*'属性输入'!$E$25</f>
        <v>20834.40536</v>
      </c>
      <c r="C72" s="98">
        <f t="shared" si="1"/>
        <v>0.2391564746</v>
      </c>
      <c r="D72" s="24">
        <v>0.1</v>
      </c>
      <c r="E72" s="24">
        <f t="shared" si="3"/>
        <v>24500</v>
      </c>
      <c r="F72" s="142">
        <f t="shared" si="2"/>
        <v>0.002757134499</v>
      </c>
    </row>
    <row r="73" ht="14.25" customHeight="1">
      <c r="A73" s="24">
        <v>7100.0</v>
      </c>
      <c r="B73" s="24">
        <f>('属性输入'!$N$19+'属性输入'!$O$19*('属性输入'!$B$25+A73-'属性输入'!$E$11+'属性输入'!$F$25-'属性输入'!$R$25+'属性输入'!$N$25-'属性输入'!$K$11+'属性输入'!$S$27))*(1-'属性输入'!$P$25)*(1+'属性输入'!$K$27-'属性输入'!$O$11)+(1+'属性输入'!$M$27-'属性输入'!$O$11)*'属性输入'!$O$19*(1-'属性输入'!$S$25)*'属性输入'!$E$25</f>
        <v>20891.84862</v>
      </c>
      <c r="C73" s="98">
        <f t="shared" si="1"/>
        <v>0.2425729957</v>
      </c>
      <c r="D73" s="24">
        <v>0.1</v>
      </c>
      <c r="E73" s="24">
        <f t="shared" si="3"/>
        <v>24600</v>
      </c>
      <c r="F73" s="142">
        <f t="shared" si="2"/>
        <v>0.00274955361</v>
      </c>
    </row>
    <row r="74" ht="14.25" customHeight="1">
      <c r="A74" s="24">
        <v>7200.0</v>
      </c>
      <c r="B74" s="24">
        <f>('属性输入'!$N$19+'属性输入'!$O$19*('属性输入'!$B$25+A74-'属性输入'!$E$11+'属性输入'!$F$25-'属性输入'!$R$25+'属性输入'!$N$25-'属性输入'!$K$11+'属性输入'!$S$27))*(1-'属性输入'!$P$25)*(1+'属性输入'!$K$27-'属性输入'!$O$11)+(1+'属性输入'!$M$27-'属性输入'!$O$11)*'属性输入'!$O$19*(1-'属性输入'!$S$25)*'属性输入'!$E$25</f>
        <v>20949.29188</v>
      </c>
      <c r="C74" s="98">
        <f t="shared" si="1"/>
        <v>0.2459895167</v>
      </c>
      <c r="D74" s="24">
        <v>0.1</v>
      </c>
      <c r="E74" s="24">
        <f t="shared" si="3"/>
        <v>24700</v>
      </c>
      <c r="F74" s="142">
        <f t="shared" si="2"/>
        <v>0.002742014294</v>
      </c>
    </row>
    <row r="75" ht="14.25" customHeight="1">
      <c r="A75" s="24">
        <v>7300.0</v>
      </c>
      <c r="B75" s="24">
        <f>('属性输入'!$N$19+'属性输入'!$O$19*('属性输入'!$B$25+A75-'属性输入'!$E$11+'属性输入'!$F$25-'属性输入'!$R$25+'属性输入'!$N$25-'属性输入'!$K$11+'属性输入'!$S$27))*(1-'属性输入'!$P$25)*(1+'属性输入'!$K$27-'属性输入'!$O$11)+(1+'属性输入'!$M$27-'属性输入'!$O$11)*'属性输入'!$O$19*(1-'属性输入'!$S$25)*'属性输入'!$E$25</f>
        <v>21006.73514</v>
      </c>
      <c r="C75" s="98">
        <f t="shared" si="1"/>
        <v>0.2494060378</v>
      </c>
      <c r="D75" s="24">
        <v>0.1</v>
      </c>
      <c r="E75" s="24">
        <f t="shared" si="3"/>
        <v>24800</v>
      </c>
      <c r="F75" s="142">
        <f t="shared" si="2"/>
        <v>0.002734516212</v>
      </c>
    </row>
    <row r="76" ht="14.25" customHeight="1">
      <c r="A76" s="24">
        <v>7400.0</v>
      </c>
      <c r="B76" s="24">
        <f>('属性输入'!$N$19+'属性输入'!$O$19*('属性输入'!$B$25+A76-'属性输入'!$E$11+'属性输入'!$F$25-'属性输入'!$R$25+'属性输入'!$N$25-'属性输入'!$K$11+'属性输入'!$S$27))*(1-'属性输入'!$P$25)*(1+'属性输入'!$K$27-'属性输入'!$O$11)+(1+'属性输入'!$M$27-'属性输入'!$O$11)*'属性输入'!$O$19*(1-'属性输入'!$S$25)*'属性输入'!$E$25</f>
        <v>21064.17839</v>
      </c>
      <c r="C76" s="98">
        <f t="shared" si="1"/>
        <v>0.2528225589</v>
      </c>
      <c r="D76" s="24">
        <v>0.1</v>
      </c>
      <c r="E76" s="24">
        <f t="shared" si="3"/>
        <v>24900</v>
      </c>
      <c r="F76" s="142">
        <f t="shared" si="2"/>
        <v>0.002727059025</v>
      </c>
    </row>
    <row r="77" ht="14.25" customHeight="1">
      <c r="A77" s="24">
        <v>7500.0</v>
      </c>
      <c r="B77" s="24">
        <f>('属性输入'!$N$19+'属性输入'!$O$19*('属性输入'!$B$25+A77-'属性输入'!$E$11+'属性输入'!$F$25-'属性输入'!$R$25+'属性输入'!$N$25-'属性输入'!$K$11+'属性输入'!$S$27))*(1-'属性输入'!$P$25)*(1+'属性输入'!$K$27-'属性输入'!$O$11)+(1+'属性输入'!$M$27-'属性输入'!$O$11)*'属性输入'!$O$19*(1-'属性输入'!$S$25)*'属性输入'!$E$25</f>
        <v>21121.62165</v>
      </c>
      <c r="C77" s="98">
        <f t="shared" si="1"/>
        <v>0.2562390799</v>
      </c>
      <c r="D77" s="24">
        <v>0.1</v>
      </c>
      <c r="E77" s="24">
        <f t="shared" si="3"/>
        <v>25000</v>
      </c>
      <c r="F77" s="142">
        <f t="shared" si="2"/>
        <v>0.002719642399</v>
      </c>
    </row>
    <row r="78" ht="14.25" customHeight="1">
      <c r="A78" s="24">
        <v>7600.0</v>
      </c>
      <c r="B78" s="24">
        <f>('属性输入'!$N$19+'属性输入'!$O$19*('属性输入'!$B$25+A78-'属性输入'!$E$11+'属性输入'!$F$25-'属性输入'!$R$25+'属性输入'!$N$25-'属性输入'!$K$11+'属性输入'!$S$27))*(1-'属性输入'!$P$25)*(1+'属性输入'!$K$27-'属性输入'!$O$11)+(1+'属性输入'!$M$27-'属性输入'!$O$11)*'属性输入'!$O$19*(1-'属性输入'!$S$25)*'属性输入'!$E$25</f>
        <v>21179.06491</v>
      </c>
      <c r="C78" s="98">
        <f t="shared" si="1"/>
        <v>0.259655601</v>
      </c>
      <c r="D78" s="24">
        <v>0.1</v>
      </c>
      <c r="E78" s="24">
        <f t="shared" si="3"/>
        <v>25100</v>
      </c>
      <c r="F78" s="142">
        <f t="shared" si="2"/>
        <v>0.002712266006</v>
      </c>
    </row>
    <row r="79" ht="14.25" customHeight="1">
      <c r="A79" s="24">
        <v>7700.0</v>
      </c>
      <c r="B79" s="24">
        <f>('属性输入'!$N$19+'属性输入'!$O$19*('属性输入'!$B$25+A79-'属性输入'!$E$11+'属性输入'!$F$25-'属性输入'!$R$25+'属性输入'!$N$25-'属性输入'!$K$11+'属性输入'!$S$27))*(1-'属性输入'!$P$25)*(1+'属性输入'!$K$27-'属性输入'!$O$11)+(1+'属性输入'!$M$27-'属性输入'!$O$11)*'属性输入'!$O$19*(1-'属性输入'!$S$25)*'属性输入'!$E$25</f>
        <v>21236.50817</v>
      </c>
      <c r="C79" s="98">
        <f t="shared" si="1"/>
        <v>0.263072122</v>
      </c>
      <c r="D79" s="24">
        <v>0.1</v>
      </c>
      <c r="E79" s="24">
        <f t="shared" si="3"/>
        <v>25200</v>
      </c>
      <c r="F79" s="142">
        <f t="shared" si="2"/>
        <v>0.002704929517</v>
      </c>
    </row>
    <row r="80" ht="14.25" customHeight="1">
      <c r="A80" s="24">
        <v>7800.0</v>
      </c>
      <c r="B80" s="24">
        <f>('属性输入'!$N$19+'属性输入'!$O$19*('属性输入'!$B$25+A80-'属性输入'!$E$11+'属性输入'!$F$25-'属性输入'!$R$25+'属性输入'!$N$25-'属性输入'!$K$11+'属性输入'!$S$27))*(1-'属性输入'!$P$25)*(1+'属性输入'!$K$27-'属性输入'!$O$11)+(1+'属性输入'!$M$27-'属性输入'!$O$11)*'属性输入'!$O$19*(1-'属性输入'!$S$25)*'属性输入'!$E$25</f>
        <v>21293.95142</v>
      </c>
      <c r="C80" s="98">
        <f t="shared" si="1"/>
        <v>0.2664886431</v>
      </c>
      <c r="D80" s="24">
        <v>0.1</v>
      </c>
      <c r="E80" s="24">
        <f t="shared" si="3"/>
        <v>25300</v>
      </c>
      <c r="F80" s="142">
        <f t="shared" si="2"/>
        <v>0.002697632611</v>
      </c>
    </row>
    <row r="81" ht="14.25" customHeight="1">
      <c r="A81" s="24">
        <v>7900.0</v>
      </c>
      <c r="B81" s="24">
        <f>('属性输入'!$N$19+'属性输入'!$O$19*('属性输入'!$B$25+A81-'属性输入'!$E$11+'属性输入'!$F$25-'属性输入'!$R$25+'属性输入'!$N$25-'属性输入'!$K$11+'属性输入'!$S$27))*(1-'属性输入'!$P$25)*(1+'属性输入'!$K$27-'属性输入'!$O$11)+(1+'属性输入'!$M$27-'属性输入'!$O$11)*'属性输入'!$O$19*(1-'属性输入'!$S$25)*'属性输入'!$E$25</f>
        <v>21351.39468</v>
      </c>
      <c r="C81" s="98">
        <f t="shared" si="1"/>
        <v>0.2699051642</v>
      </c>
      <c r="D81" s="24">
        <v>0.1</v>
      </c>
      <c r="E81" s="24">
        <f t="shared" si="3"/>
        <v>25400</v>
      </c>
      <c r="F81" s="142">
        <f t="shared" si="2"/>
        <v>0.002690374968</v>
      </c>
    </row>
    <row r="82" ht="14.25" customHeight="1">
      <c r="A82" s="24">
        <v>8000.0</v>
      </c>
      <c r="B82" s="24">
        <f>('属性输入'!$N$19+'属性输入'!$O$19*('属性输入'!$B$25+A82-'属性输入'!$E$11+'属性输入'!$F$25-'属性输入'!$R$25+'属性输入'!$N$25-'属性输入'!$K$11+'属性输入'!$S$27))*(1-'属性输入'!$P$25)*(1+'属性输入'!$K$27-'属性输入'!$O$11)+(1+'属性输入'!$M$27-'属性输入'!$O$11)*'属性输入'!$O$19*(1-'属性输入'!$S$25)*'属性输入'!$E$25</f>
        <v>21408.83794</v>
      </c>
      <c r="C82" s="98">
        <f t="shared" si="1"/>
        <v>0.2733216852</v>
      </c>
      <c r="D82" s="24">
        <v>0.1</v>
      </c>
      <c r="E82" s="24">
        <f t="shared" si="3"/>
        <v>25500</v>
      </c>
      <c r="F82" s="142">
        <f t="shared" si="2"/>
        <v>0.002683156272</v>
      </c>
    </row>
    <row r="83" ht="14.25" customHeight="1">
      <c r="A83" s="24">
        <v>8100.0</v>
      </c>
      <c r="B83" s="24">
        <f>('属性输入'!$N$19+'属性输入'!$O$19*('属性输入'!$B$25+A83-'属性输入'!$E$11+'属性输入'!$F$25-'属性输入'!$R$25+'属性输入'!$N$25-'属性输入'!$K$11+'属性输入'!$S$27))*(1-'属性输入'!$P$25)*(1+'属性输入'!$K$27-'属性输入'!$O$11)+(1+'属性输入'!$M$27-'属性输入'!$O$11)*'属性输入'!$O$19*(1-'属性输入'!$S$25)*'属性输入'!$E$25</f>
        <v>21466.2812</v>
      </c>
      <c r="C83" s="98">
        <f t="shared" si="1"/>
        <v>0.2767382063</v>
      </c>
      <c r="D83" s="24">
        <v>0.1</v>
      </c>
      <c r="E83" s="24">
        <f t="shared" si="3"/>
        <v>25600</v>
      </c>
      <c r="F83" s="142">
        <f t="shared" si="2"/>
        <v>0.002675976209</v>
      </c>
    </row>
    <row r="84" ht="14.25" customHeight="1">
      <c r="A84" s="24">
        <v>8200.0</v>
      </c>
      <c r="B84" s="24">
        <f>('属性输入'!$N$19+'属性输入'!$O$19*('属性输入'!$B$25+A84-'属性输入'!$E$11+'属性输入'!$F$25-'属性输入'!$R$25+'属性输入'!$N$25-'属性输入'!$K$11+'属性输入'!$S$27))*(1-'属性输入'!$P$25)*(1+'属性输入'!$K$27-'属性输入'!$O$11)+(1+'属性输入'!$M$27-'属性输入'!$O$11)*'属性输入'!$O$19*(1-'属性输入'!$S$25)*'属性输入'!$E$25</f>
        <v>21523.72446</v>
      </c>
      <c r="C84" s="98">
        <f t="shared" si="1"/>
        <v>0.2801547274</v>
      </c>
      <c r="D84" s="24">
        <v>0.1</v>
      </c>
      <c r="E84" s="24">
        <f t="shared" si="3"/>
        <v>25700</v>
      </c>
      <c r="F84" s="142">
        <f t="shared" si="2"/>
        <v>0.002668834472</v>
      </c>
    </row>
    <row r="85" ht="14.25" customHeight="1">
      <c r="A85" s="24">
        <v>8300.0</v>
      </c>
      <c r="B85" s="24">
        <f>('属性输入'!$N$19+'属性输入'!$O$19*('属性输入'!$B$25+A85-'属性输入'!$E$11+'属性输入'!$F$25-'属性输入'!$R$25+'属性输入'!$N$25-'属性输入'!$K$11+'属性输入'!$S$27))*(1-'属性输入'!$P$25)*(1+'属性输入'!$K$27-'属性输入'!$O$11)+(1+'属性输入'!$M$27-'属性输入'!$O$11)*'属性输入'!$O$19*(1-'属性输入'!$S$25)*'属性输入'!$E$25</f>
        <v>21581.16771</v>
      </c>
      <c r="C85" s="98">
        <f t="shared" si="1"/>
        <v>0.2835712484</v>
      </c>
      <c r="D85" s="24">
        <v>0.1</v>
      </c>
      <c r="E85" s="24">
        <f t="shared" si="3"/>
        <v>25800</v>
      </c>
      <c r="F85" s="142">
        <f t="shared" si="2"/>
        <v>0.002661730753</v>
      </c>
    </row>
    <row r="86" ht="14.25" customHeight="1">
      <c r="A86" s="24">
        <v>8400.0</v>
      </c>
      <c r="B86" s="24">
        <f>('属性输入'!$N$19+'属性输入'!$O$19*('属性输入'!$B$25+A86-'属性输入'!$E$11+'属性输入'!$F$25-'属性输入'!$R$25+'属性输入'!$N$25-'属性输入'!$K$11+'属性输入'!$S$27))*(1-'属性输入'!$P$25)*(1+'属性输入'!$K$27-'属性输入'!$O$11)+(1+'属性输入'!$M$27-'属性输入'!$O$11)*'属性输入'!$O$19*(1-'属性输入'!$S$25)*'属性输入'!$E$25</f>
        <v>21638.61097</v>
      </c>
      <c r="C86" s="98">
        <f t="shared" si="1"/>
        <v>0.2869877695</v>
      </c>
      <c r="D86" s="24">
        <v>0.1</v>
      </c>
      <c r="E86" s="24">
        <f t="shared" si="3"/>
        <v>25900</v>
      </c>
      <c r="F86" s="142">
        <f t="shared" si="2"/>
        <v>0.00265466475</v>
      </c>
    </row>
    <row r="87" ht="14.25" customHeight="1">
      <c r="A87" s="24">
        <v>8500.0</v>
      </c>
      <c r="B87" s="24">
        <f>('属性输入'!$N$19+'属性输入'!$O$19*('属性输入'!$B$25+A87-'属性输入'!$E$11+'属性输入'!$F$25-'属性输入'!$R$25+'属性输入'!$N$25-'属性输入'!$K$11+'属性输入'!$S$27))*(1-'属性输入'!$P$25)*(1+'属性输入'!$K$27-'属性输入'!$O$11)+(1+'属性输入'!$M$27-'属性输入'!$O$11)*'属性输入'!$O$19*(1-'属性输入'!$S$25)*'属性输入'!$E$25</f>
        <v>21696.05423</v>
      </c>
      <c r="C87" s="98">
        <f t="shared" si="1"/>
        <v>0.2904042906</v>
      </c>
      <c r="D87" s="24">
        <v>0.1</v>
      </c>
      <c r="E87" s="24">
        <f t="shared" si="3"/>
        <v>26000</v>
      </c>
      <c r="F87" s="142">
        <f t="shared" si="2"/>
        <v>0.002647636164</v>
      </c>
    </row>
    <row r="88" ht="14.25" customHeight="1">
      <c r="A88" s="24">
        <v>8600.0</v>
      </c>
      <c r="B88" s="24">
        <f>('属性输入'!$N$19+'属性输入'!$O$19*('属性输入'!$B$25+A88-'属性输入'!$E$11+'属性输入'!$F$25-'属性输入'!$R$25+'属性输入'!$N$25-'属性输入'!$K$11+'属性输入'!$S$27))*(1-'属性输入'!$P$25)*(1+'属性输入'!$K$27-'属性输入'!$O$11)+(1+'属性输入'!$M$27-'属性输入'!$O$11)*'属性输入'!$O$19*(1-'属性输入'!$S$25)*'属性输入'!$E$25</f>
        <v>21753.49749</v>
      </c>
      <c r="C88" s="98">
        <f t="shared" si="1"/>
        <v>0.2938208116</v>
      </c>
      <c r="D88" s="24">
        <v>0.1</v>
      </c>
      <c r="E88" s="24">
        <f t="shared" si="3"/>
        <v>26100</v>
      </c>
      <c r="F88" s="142">
        <f t="shared" si="2"/>
        <v>0.002640644697</v>
      </c>
    </row>
    <row r="89" ht="14.25" customHeight="1">
      <c r="A89" s="24">
        <v>8700.0</v>
      </c>
      <c r="B89" s="24">
        <f>('属性输入'!$N$19+'属性输入'!$O$19*('属性输入'!$B$25+A89-'属性输入'!$E$11+'属性输入'!$F$25-'属性输入'!$R$25+'属性输入'!$N$25-'属性输入'!$K$11+'属性输入'!$S$27))*(1-'属性输入'!$P$25)*(1+'属性输入'!$K$27-'属性输入'!$O$11)+(1+'属性输入'!$M$27-'属性输入'!$O$11)*'属性输入'!$O$19*(1-'属性输入'!$S$25)*'属性输入'!$E$25</f>
        <v>21810.94074</v>
      </c>
      <c r="C89" s="98">
        <f t="shared" si="1"/>
        <v>0.2972373327</v>
      </c>
      <c r="D89" s="24">
        <v>0.1</v>
      </c>
      <c r="E89" s="24">
        <f t="shared" si="3"/>
        <v>26200</v>
      </c>
      <c r="F89" s="142">
        <f t="shared" si="2"/>
        <v>0.002633690058</v>
      </c>
    </row>
    <row r="90" ht="14.25" customHeight="1">
      <c r="A90" s="24">
        <v>8800.0</v>
      </c>
      <c r="B90" s="24">
        <f>('属性输入'!$N$19+'属性输入'!$O$19*('属性输入'!$B$25+A90-'属性输入'!$E$11+'属性输入'!$F$25-'属性输入'!$R$25+'属性输入'!$N$25-'属性输入'!$K$11+'属性输入'!$S$27))*(1-'属性输入'!$P$25)*(1+'属性输入'!$K$27-'属性输入'!$O$11)+(1+'属性输入'!$M$27-'属性输入'!$O$11)*'属性输入'!$O$19*(1-'属性输入'!$S$25)*'属性输入'!$E$25</f>
        <v>21868.384</v>
      </c>
      <c r="C90" s="98">
        <f t="shared" si="1"/>
        <v>0.3006538538</v>
      </c>
      <c r="D90" s="24">
        <v>0.1</v>
      </c>
      <c r="E90" s="24">
        <f t="shared" si="3"/>
        <v>26300</v>
      </c>
      <c r="F90" s="142"/>
    </row>
    <row r="91" ht="14.25" customHeight="1">
      <c r="F91" s="142"/>
    </row>
    <row r="92" ht="14.25" customHeight="1">
      <c r="F92" s="142"/>
    </row>
    <row r="93" ht="14.25" customHeight="1">
      <c r="F93" s="142"/>
    </row>
    <row r="94" ht="14.25" customHeight="1">
      <c r="F94" s="142"/>
    </row>
    <row r="95" ht="14.25" customHeight="1">
      <c r="F95" s="142"/>
    </row>
    <row r="96" ht="14.25" customHeight="1">
      <c r="F96" s="142"/>
    </row>
    <row r="97" ht="14.25" customHeight="1">
      <c r="F97" s="142"/>
    </row>
    <row r="98" ht="14.25" customHeight="1">
      <c r="F98" s="142"/>
    </row>
    <row r="99" ht="14.25" customHeight="1">
      <c r="F99" s="142"/>
    </row>
    <row r="100" ht="14.25" customHeight="1">
      <c r="F100" s="142"/>
    </row>
    <row r="101" ht="14.25" customHeight="1">
      <c r="F101" s="142"/>
    </row>
    <row r="102" ht="14.25" customHeight="1">
      <c r="F102" s="142"/>
    </row>
    <row r="103" ht="14.25" customHeight="1">
      <c r="F103" s="142"/>
    </row>
    <row r="104" ht="14.25" customHeight="1">
      <c r="F104" s="142"/>
    </row>
    <row r="105" ht="14.25" customHeight="1">
      <c r="F105" s="142"/>
    </row>
    <row r="106" ht="14.25" customHeight="1">
      <c r="F106" s="142"/>
    </row>
    <row r="107" ht="14.25" customHeight="1">
      <c r="F107" s="142"/>
    </row>
    <row r="108" ht="14.25" customHeight="1">
      <c r="F108" s="142"/>
    </row>
    <row r="109" ht="14.25" customHeight="1">
      <c r="F109" s="142"/>
    </row>
    <row r="110" ht="14.25" customHeight="1">
      <c r="F110" s="142"/>
    </row>
    <row r="111" ht="14.25" customHeight="1">
      <c r="F111" s="142"/>
    </row>
    <row r="112" ht="14.25" customHeight="1">
      <c r="F112" s="142"/>
    </row>
    <row r="113" ht="14.25" customHeight="1">
      <c r="F113" s="142"/>
    </row>
    <row r="114" ht="14.25" customHeight="1">
      <c r="F114" s="142"/>
    </row>
    <row r="115" ht="14.25" customHeight="1">
      <c r="F115" s="142"/>
    </row>
    <row r="116" ht="14.25" customHeight="1">
      <c r="F116" s="142"/>
    </row>
    <row r="117" ht="14.25" customHeight="1">
      <c r="F117" s="142"/>
    </row>
    <row r="118" ht="14.25" customHeight="1">
      <c r="F118" s="142"/>
    </row>
    <row r="119" ht="14.25" customHeight="1">
      <c r="F119" s="142"/>
    </row>
    <row r="120" ht="14.25" customHeight="1">
      <c r="F120" s="142"/>
    </row>
    <row r="121" ht="14.25" customHeight="1">
      <c r="F121" s="142"/>
    </row>
    <row r="122" ht="14.25" customHeight="1">
      <c r="F122" s="142"/>
    </row>
    <row r="123" ht="14.25" customHeight="1">
      <c r="F123" s="142"/>
    </row>
    <row r="124" ht="14.25" customHeight="1">
      <c r="F124" s="142"/>
    </row>
    <row r="125" ht="14.25" customHeight="1">
      <c r="F125" s="142"/>
    </row>
    <row r="126" ht="14.25" customHeight="1">
      <c r="F126" s="142"/>
    </row>
    <row r="127" ht="14.25" customHeight="1">
      <c r="F127" s="142"/>
    </row>
    <row r="128" ht="14.25" customHeight="1">
      <c r="F128" s="142"/>
    </row>
    <row r="129" ht="14.25" customHeight="1">
      <c r="F129" s="142"/>
    </row>
    <row r="130" ht="14.25" customHeight="1">
      <c r="F130" s="142"/>
    </row>
    <row r="131" ht="14.25" customHeight="1">
      <c r="F131" s="142"/>
    </row>
    <row r="132" ht="14.25" customHeight="1">
      <c r="F132" s="142"/>
    </row>
    <row r="133" ht="14.25" customHeight="1">
      <c r="F133" s="142"/>
    </row>
    <row r="134" ht="14.25" customHeight="1">
      <c r="F134" s="142"/>
    </row>
    <row r="135" ht="14.25" customHeight="1">
      <c r="F135" s="142"/>
    </row>
    <row r="136" ht="14.25" customHeight="1">
      <c r="F136" s="142"/>
    </row>
    <row r="137" ht="14.25" customHeight="1">
      <c r="F137" s="142"/>
    </row>
    <row r="138" ht="14.25" customHeight="1">
      <c r="F138" s="142"/>
    </row>
    <row r="139" ht="14.25" customHeight="1">
      <c r="F139" s="142"/>
    </row>
    <row r="140" ht="14.25" customHeight="1">
      <c r="F140" s="142"/>
    </row>
    <row r="141" ht="14.25" customHeight="1">
      <c r="F141" s="142"/>
    </row>
    <row r="142" ht="14.25" customHeight="1">
      <c r="F142" s="142"/>
    </row>
    <row r="143" ht="14.25" customHeight="1">
      <c r="F143" s="142"/>
    </row>
    <row r="144" ht="14.25" customHeight="1">
      <c r="F144" s="142"/>
    </row>
    <row r="145" ht="14.25" customHeight="1">
      <c r="F145" s="142"/>
    </row>
    <row r="146" ht="14.25" customHeight="1">
      <c r="F146" s="142"/>
    </row>
    <row r="147" ht="14.25" customHeight="1">
      <c r="F147" s="142"/>
    </row>
    <row r="148" ht="14.25" customHeight="1">
      <c r="F148" s="142"/>
    </row>
    <row r="149" ht="14.25" customHeight="1">
      <c r="F149" s="142"/>
    </row>
    <row r="150" ht="14.25" customHeight="1">
      <c r="F150" s="142"/>
    </row>
    <row r="151" ht="14.25" customHeight="1">
      <c r="F151" s="142"/>
    </row>
    <row r="152" ht="14.25" customHeight="1">
      <c r="F152" s="142"/>
    </row>
    <row r="153" ht="14.25" customHeight="1">
      <c r="F153" s="142"/>
    </row>
    <row r="154" ht="14.25" customHeight="1">
      <c r="F154" s="142"/>
    </row>
    <row r="155" ht="14.25" customHeight="1">
      <c r="F155" s="142"/>
    </row>
    <row r="156" ht="14.25" customHeight="1">
      <c r="F156" s="142"/>
    </row>
    <row r="157" ht="14.25" customHeight="1">
      <c r="F157" s="142"/>
    </row>
    <row r="158" ht="14.25" customHeight="1">
      <c r="F158" s="142"/>
    </row>
    <row r="159" ht="14.25" customHeight="1">
      <c r="F159" s="142"/>
    </row>
    <row r="160" ht="14.25" customHeight="1">
      <c r="F160" s="142"/>
    </row>
    <row r="161" ht="14.25" customHeight="1">
      <c r="F161" s="142"/>
    </row>
    <row r="162" ht="14.25" customHeight="1">
      <c r="F162" s="142"/>
    </row>
    <row r="163" ht="14.25" customHeight="1">
      <c r="F163" s="142"/>
    </row>
    <row r="164" ht="14.25" customHeight="1">
      <c r="F164" s="142"/>
    </row>
    <row r="165" ht="14.25" customHeight="1">
      <c r="F165" s="142"/>
    </row>
    <row r="166" ht="14.25" customHeight="1">
      <c r="F166" s="142"/>
    </row>
    <row r="167" ht="14.25" customHeight="1">
      <c r="F167" s="142"/>
    </row>
    <row r="168" ht="14.25" customHeight="1">
      <c r="F168" s="142"/>
    </row>
    <row r="169" ht="14.25" customHeight="1">
      <c r="F169" s="142"/>
    </row>
    <row r="170" ht="14.25" customHeight="1">
      <c r="F170" s="142"/>
    </row>
    <row r="171" ht="14.25" customHeight="1">
      <c r="F171" s="142"/>
    </row>
    <row r="172" ht="14.25" customHeight="1">
      <c r="F172" s="142"/>
    </row>
    <row r="173" ht="14.25" customHeight="1">
      <c r="F173" s="142"/>
    </row>
    <row r="174" ht="14.25" customHeight="1">
      <c r="F174" s="142"/>
    </row>
    <row r="175" ht="14.25" customHeight="1">
      <c r="F175" s="142"/>
    </row>
    <row r="176" ht="14.25" customHeight="1">
      <c r="F176" s="142"/>
    </row>
    <row r="177" ht="14.25" customHeight="1">
      <c r="F177" s="142"/>
    </row>
    <row r="178" ht="14.25" customHeight="1">
      <c r="F178" s="142"/>
    </row>
    <row r="179" ht="14.25" customHeight="1">
      <c r="F179" s="142"/>
    </row>
    <row r="180" ht="14.25" customHeight="1">
      <c r="F180" s="142"/>
    </row>
    <row r="181" ht="14.25" customHeight="1">
      <c r="F181" s="142"/>
    </row>
    <row r="182" ht="14.25" customHeight="1">
      <c r="F182" s="142"/>
    </row>
    <row r="183" ht="14.25" customHeight="1">
      <c r="F183" s="142"/>
    </row>
    <row r="184" ht="14.25" customHeight="1">
      <c r="F184" s="142"/>
    </row>
    <row r="185" ht="14.25" customHeight="1">
      <c r="F185" s="142"/>
    </row>
    <row r="186" ht="14.25" customHeight="1">
      <c r="F186" s="142"/>
    </row>
    <row r="187" ht="14.25" customHeight="1">
      <c r="F187" s="142"/>
    </row>
    <row r="188" ht="14.25" customHeight="1">
      <c r="F188" s="142"/>
    </row>
    <row r="189" ht="14.25" customHeight="1">
      <c r="F189" s="142"/>
    </row>
    <row r="190" ht="14.25" customHeight="1">
      <c r="F190" s="142"/>
    </row>
    <row r="191" ht="14.25" customHeight="1">
      <c r="F191" s="142"/>
    </row>
    <row r="192" ht="14.25" customHeight="1">
      <c r="F192" s="142"/>
    </row>
    <row r="193" ht="14.25" customHeight="1">
      <c r="F193" s="142"/>
    </row>
    <row r="194" ht="14.25" customHeight="1">
      <c r="F194" s="142"/>
    </row>
    <row r="195" ht="14.25" customHeight="1">
      <c r="F195" s="142"/>
    </row>
    <row r="196" ht="14.25" customHeight="1">
      <c r="F196" s="142"/>
    </row>
    <row r="197" ht="14.25" customHeight="1">
      <c r="F197" s="142"/>
    </row>
    <row r="198" ht="14.25" customHeight="1">
      <c r="F198" s="142"/>
    </row>
    <row r="199" ht="14.25" customHeight="1">
      <c r="F199" s="142"/>
    </row>
    <row r="200" ht="14.25" customHeight="1">
      <c r="F200" s="142"/>
    </row>
    <row r="201" ht="14.25" customHeight="1">
      <c r="F201" s="142"/>
    </row>
    <row r="202" ht="14.25" customHeight="1">
      <c r="F202" s="142"/>
    </row>
    <row r="203" ht="14.25" customHeight="1">
      <c r="F203" s="142"/>
    </row>
    <row r="204" ht="14.25" customHeight="1">
      <c r="F204" s="142"/>
    </row>
    <row r="205" ht="14.25" customHeight="1">
      <c r="F205" s="142"/>
    </row>
    <row r="206" ht="14.25" customHeight="1">
      <c r="F206" s="142"/>
    </row>
    <row r="207" ht="14.25" customHeight="1">
      <c r="F207" s="142"/>
    </row>
    <row r="208" ht="14.25" customHeight="1">
      <c r="F208" s="142"/>
    </row>
    <row r="209" ht="14.25" customHeight="1">
      <c r="F209" s="142"/>
    </row>
    <row r="210" ht="14.25" customHeight="1">
      <c r="F210" s="142"/>
    </row>
    <row r="211" ht="14.25" customHeight="1">
      <c r="F211" s="142"/>
    </row>
    <row r="212" ht="14.25" customHeight="1">
      <c r="F212" s="142"/>
    </row>
    <row r="213" ht="14.25" customHeight="1">
      <c r="F213" s="142"/>
    </row>
    <row r="214" ht="14.25" customHeight="1">
      <c r="F214" s="142"/>
    </row>
    <row r="215" ht="14.25" customHeight="1">
      <c r="F215" s="142"/>
    </row>
    <row r="216" ht="14.25" customHeight="1">
      <c r="F216" s="142"/>
    </row>
    <row r="217" ht="14.25" customHeight="1">
      <c r="F217" s="142"/>
    </row>
    <row r="218" ht="14.25" customHeight="1">
      <c r="F218" s="142"/>
    </row>
    <row r="219" ht="14.25" customHeight="1">
      <c r="F219" s="142"/>
    </row>
    <row r="220" ht="14.25" customHeight="1">
      <c r="F220" s="142"/>
    </row>
    <row r="221" ht="14.25" customHeight="1">
      <c r="F221" s="142"/>
    </row>
    <row r="222" ht="14.25" customHeight="1">
      <c r="F222" s="142"/>
    </row>
    <row r="223" ht="14.25" customHeight="1">
      <c r="F223" s="142"/>
    </row>
    <row r="224" ht="14.25" customHeight="1">
      <c r="F224" s="142"/>
    </row>
    <row r="225" ht="14.25" customHeight="1">
      <c r="F225" s="142"/>
    </row>
    <row r="226" ht="14.25" customHeight="1">
      <c r="F226" s="142"/>
    </row>
    <row r="227" ht="14.25" customHeight="1">
      <c r="F227" s="142"/>
    </row>
    <row r="228" ht="14.25" customHeight="1">
      <c r="F228" s="142"/>
    </row>
    <row r="229" ht="14.25" customHeight="1">
      <c r="F229" s="142"/>
    </row>
    <row r="230" ht="14.25" customHeight="1">
      <c r="F230" s="142"/>
    </row>
    <row r="231" ht="14.25" customHeight="1">
      <c r="F231" s="142"/>
    </row>
    <row r="232" ht="14.25" customHeight="1">
      <c r="F232" s="142"/>
    </row>
    <row r="233" ht="14.25" customHeight="1">
      <c r="F233" s="142"/>
    </row>
    <row r="234" ht="14.25" customHeight="1">
      <c r="F234" s="142"/>
    </row>
    <row r="235" ht="14.25" customHeight="1">
      <c r="F235" s="142"/>
    </row>
    <row r="236" ht="14.25" customHeight="1">
      <c r="F236" s="142"/>
    </row>
    <row r="237" ht="14.25" customHeight="1">
      <c r="F237" s="142"/>
    </row>
    <row r="238" ht="14.25" customHeight="1">
      <c r="F238" s="142"/>
    </row>
    <row r="239" ht="14.25" customHeight="1">
      <c r="F239" s="142"/>
    </row>
    <row r="240" ht="14.25" customHeight="1">
      <c r="F240" s="142"/>
    </row>
    <row r="241" ht="14.25" customHeight="1">
      <c r="F241" s="142"/>
    </row>
    <row r="242" ht="14.25" customHeight="1">
      <c r="F242" s="142"/>
    </row>
    <row r="243" ht="14.25" customHeight="1">
      <c r="F243" s="142"/>
    </row>
    <row r="244" ht="14.25" customHeight="1">
      <c r="F244" s="142"/>
    </row>
    <row r="245" ht="14.25" customHeight="1">
      <c r="F245" s="142"/>
    </row>
    <row r="246" ht="14.25" customHeight="1">
      <c r="F246" s="142"/>
    </row>
    <row r="247" ht="14.25" customHeight="1">
      <c r="F247" s="142"/>
    </row>
    <row r="248" ht="14.25" customHeight="1">
      <c r="F248" s="142"/>
    </row>
    <row r="249" ht="14.25" customHeight="1">
      <c r="F249" s="142"/>
    </row>
    <row r="250" ht="14.25" customHeight="1">
      <c r="F250" s="142"/>
    </row>
    <row r="251" ht="14.25" customHeight="1">
      <c r="F251" s="142"/>
    </row>
    <row r="252" ht="14.25" customHeight="1">
      <c r="F252" s="142"/>
    </row>
    <row r="253" ht="14.25" customHeight="1">
      <c r="F253" s="142"/>
    </row>
    <row r="254" ht="14.25" customHeight="1">
      <c r="F254" s="142"/>
    </row>
    <row r="255" ht="14.25" customHeight="1">
      <c r="F255" s="142"/>
    </row>
    <row r="256" ht="14.25" customHeight="1">
      <c r="F256" s="142"/>
    </row>
    <row r="257" ht="14.25" customHeight="1">
      <c r="F257" s="142"/>
    </row>
    <row r="258" ht="14.25" customHeight="1">
      <c r="F258" s="142"/>
    </row>
    <row r="259" ht="14.25" customHeight="1">
      <c r="F259" s="142"/>
    </row>
    <row r="260" ht="14.25" customHeight="1">
      <c r="F260" s="142"/>
    </row>
    <row r="261" ht="14.25" customHeight="1">
      <c r="F261" s="142"/>
    </row>
    <row r="262" ht="14.25" customHeight="1">
      <c r="F262" s="142"/>
    </row>
    <row r="263" ht="14.25" customHeight="1">
      <c r="F263" s="142"/>
    </row>
    <row r="264" ht="14.25" customHeight="1">
      <c r="F264" s="142"/>
    </row>
    <row r="265" ht="14.25" customHeight="1">
      <c r="F265" s="142"/>
    </row>
    <row r="266" ht="14.25" customHeight="1">
      <c r="F266" s="142"/>
    </row>
    <row r="267" ht="14.25" customHeight="1">
      <c r="F267" s="142"/>
    </row>
    <row r="268" ht="14.25" customHeight="1">
      <c r="F268" s="142"/>
    </row>
    <row r="269" ht="14.25" customHeight="1">
      <c r="F269" s="142"/>
    </row>
    <row r="270" ht="14.25" customHeight="1">
      <c r="F270" s="142"/>
    </row>
    <row r="271" ht="14.25" customHeight="1">
      <c r="F271" s="142"/>
    </row>
    <row r="272" ht="14.25" customHeight="1">
      <c r="F272" s="142"/>
    </row>
    <row r="273" ht="14.25" customHeight="1">
      <c r="F273" s="142"/>
    </row>
    <row r="274" ht="14.25" customHeight="1">
      <c r="F274" s="142"/>
    </row>
    <row r="275" ht="14.25" customHeight="1">
      <c r="F275" s="142"/>
    </row>
    <row r="276" ht="14.25" customHeight="1">
      <c r="F276" s="142"/>
    </row>
    <row r="277" ht="14.25" customHeight="1">
      <c r="F277" s="142"/>
    </row>
    <row r="278" ht="14.25" customHeight="1">
      <c r="F278" s="142"/>
    </row>
    <row r="279" ht="14.25" customHeight="1">
      <c r="F279" s="142"/>
    </row>
    <row r="280" ht="14.25" customHeight="1">
      <c r="F280" s="142"/>
    </row>
    <row r="281" ht="14.25" customHeight="1">
      <c r="F281" s="142"/>
    </row>
    <row r="282" ht="14.25" customHeight="1">
      <c r="F282" s="142"/>
    </row>
    <row r="283" ht="14.25" customHeight="1">
      <c r="F283" s="142"/>
    </row>
    <row r="284" ht="14.25" customHeight="1">
      <c r="F284" s="142"/>
    </row>
    <row r="285" ht="14.25" customHeight="1">
      <c r="F285" s="142"/>
    </row>
    <row r="286" ht="14.25" customHeight="1">
      <c r="F286" s="142"/>
    </row>
    <row r="287" ht="14.25" customHeight="1">
      <c r="F287" s="142"/>
    </row>
    <row r="288" ht="14.25" customHeight="1">
      <c r="F288" s="142"/>
    </row>
    <row r="289" ht="14.25" customHeight="1">
      <c r="F289" s="142"/>
    </row>
    <row r="290" ht="14.25" customHeight="1">
      <c r="F290" s="142"/>
    </row>
    <row r="291" ht="14.25" customHeight="1">
      <c r="F291" s="142"/>
    </row>
    <row r="292" ht="14.25" customHeight="1">
      <c r="F292" s="142"/>
    </row>
    <row r="293" ht="14.25" customHeight="1">
      <c r="F293" s="142"/>
    </row>
    <row r="294" ht="14.25" customHeight="1">
      <c r="F294" s="142"/>
    </row>
    <row r="295" ht="14.25" customHeight="1">
      <c r="F295" s="142"/>
    </row>
    <row r="296" ht="14.25" customHeight="1">
      <c r="F296" s="142"/>
    </row>
    <row r="297" ht="14.25" customHeight="1">
      <c r="F297" s="142"/>
    </row>
    <row r="298" ht="14.25" customHeight="1">
      <c r="F298" s="142"/>
    </row>
    <row r="299" ht="14.25" customHeight="1">
      <c r="F299" s="142"/>
    </row>
    <row r="300" ht="14.25" customHeight="1">
      <c r="F300" s="142"/>
    </row>
    <row r="301" ht="14.25" customHeight="1">
      <c r="F301" s="142"/>
    </row>
    <row r="302" ht="14.25" customHeight="1">
      <c r="F302" s="142"/>
    </row>
    <row r="303" ht="14.25" customHeight="1">
      <c r="F303" s="142"/>
    </row>
    <row r="304" ht="14.25" customHeight="1">
      <c r="F304" s="142"/>
    </row>
    <row r="305" ht="14.25" customHeight="1">
      <c r="F305" s="142"/>
    </row>
    <row r="306" ht="14.25" customHeight="1">
      <c r="F306" s="142"/>
    </row>
    <row r="307" ht="14.25" customHeight="1">
      <c r="F307" s="142"/>
    </row>
    <row r="308" ht="14.25" customHeight="1">
      <c r="F308" s="142"/>
    </row>
    <row r="309" ht="14.25" customHeight="1">
      <c r="F309" s="142"/>
    </row>
    <row r="310" ht="14.25" customHeight="1">
      <c r="F310" s="142"/>
    </row>
    <row r="311" ht="14.25" customHeight="1">
      <c r="F311" s="142"/>
    </row>
    <row r="312" ht="14.25" customHeight="1">
      <c r="F312" s="142"/>
    </row>
    <row r="313" ht="14.25" customHeight="1">
      <c r="F313" s="142"/>
    </row>
    <row r="314" ht="14.25" customHeight="1">
      <c r="F314" s="142"/>
    </row>
    <row r="315" ht="14.25" customHeight="1">
      <c r="F315" s="142"/>
    </row>
    <row r="316" ht="14.25" customHeight="1">
      <c r="F316" s="142"/>
    </row>
    <row r="317" ht="14.25" customHeight="1">
      <c r="F317" s="142"/>
    </row>
    <row r="318" ht="14.25" customHeight="1">
      <c r="F318" s="142"/>
    </row>
    <row r="319" ht="14.25" customHeight="1">
      <c r="F319" s="142"/>
    </row>
    <row r="320" ht="14.25" customHeight="1">
      <c r="F320" s="142"/>
    </row>
    <row r="321" ht="14.25" customHeight="1">
      <c r="F321" s="142"/>
    </row>
    <row r="322" ht="14.25" customHeight="1">
      <c r="F322" s="142"/>
    </row>
    <row r="323" ht="14.25" customHeight="1">
      <c r="F323" s="142"/>
    </row>
    <row r="324" ht="14.25" customHeight="1">
      <c r="F324" s="142"/>
    </row>
    <row r="325" ht="14.25" customHeight="1">
      <c r="F325" s="142"/>
    </row>
    <row r="326" ht="14.25" customHeight="1">
      <c r="F326" s="142"/>
    </row>
    <row r="327" ht="14.25" customHeight="1">
      <c r="F327" s="142"/>
    </row>
    <row r="328" ht="14.25" customHeight="1">
      <c r="F328" s="142"/>
    </row>
    <row r="329" ht="14.25" customHeight="1">
      <c r="F329" s="142"/>
    </row>
    <row r="330" ht="14.25" customHeight="1">
      <c r="F330" s="142"/>
    </row>
    <row r="331" ht="14.25" customHeight="1">
      <c r="F331" s="142"/>
    </row>
    <row r="332" ht="14.25" customHeight="1">
      <c r="F332" s="142"/>
    </row>
    <row r="333" ht="14.25" customHeight="1">
      <c r="F333" s="142"/>
    </row>
    <row r="334" ht="14.25" customHeight="1">
      <c r="F334" s="142"/>
    </row>
    <row r="335" ht="14.25" customHeight="1">
      <c r="F335" s="142"/>
    </row>
    <row r="336" ht="14.25" customHeight="1">
      <c r="F336" s="142"/>
    </row>
    <row r="337" ht="14.25" customHeight="1">
      <c r="F337" s="142"/>
    </row>
    <row r="338" ht="14.25" customHeight="1">
      <c r="F338" s="142"/>
    </row>
    <row r="339" ht="14.25" customHeight="1">
      <c r="F339" s="142"/>
    </row>
    <row r="340" ht="14.25" customHeight="1">
      <c r="F340" s="142"/>
    </row>
    <row r="341" ht="14.25" customHeight="1">
      <c r="F341" s="142"/>
    </row>
    <row r="342" ht="14.25" customHeight="1">
      <c r="F342" s="142"/>
    </row>
    <row r="343" ht="14.25" customHeight="1">
      <c r="F343" s="142"/>
    </row>
    <row r="344" ht="14.25" customHeight="1">
      <c r="F344" s="142"/>
    </row>
    <row r="345" ht="14.25" customHeight="1">
      <c r="F345" s="142"/>
    </row>
    <row r="346" ht="14.25" customHeight="1">
      <c r="F346" s="142"/>
    </row>
    <row r="347" ht="14.25" customHeight="1">
      <c r="F347" s="142"/>
    </row>
    <row r="348" ht="14.25" customHeight="1">
      <c r="F348" s="142"/>
    </row>
    <row r="349" ht="14.25" customHeight="1">
      <c r="F349" s="142"/>
    </row>
    <row r="350" ht="14.25" customHeight="1">
      <c r="F350" s="142"/>
    </row>
    <row r="351" ht="14.25" customHeight="1">
      <c r="F351" s="142"/>
    </row>
    <row r="352" ht="14.25" customHeight="1">
      <c r="F352" s="142"/>
    </row>
    <row r="353" ht="14.25" customHeight="1">
      <c r="F353" s="142"/>
    </row>
    <row r="354" ht="14.25" customHeight="1">
      <c r="F354" s="142"/>
    </row>
    <row r="355" ht="14.25" customHeight="1">
      <c r="F355" s="142"/>
    </row>
    <row r="356" ht="14.25" customHeight="1">
      <c r="F356" s="142"/>
    </row>
    <row r="357" ht="14.25" customHeight="1">
      <c r="F357" s="142"/>
    </row>
    <row r="358" ht="14.25" customHeight="1">
      <c r="F358" s="142"/>
    </row>
    <row r="359" ht="14.25" customHeight="1">
      <c r="F359" s="142"/>
    </row>
    <row r="360" ht="14.25" customHeight="1">
      <c r="F360" s="142"/>
    </row>
    <row r="361" ht="14.25" customHeight="1">
      <c r="F361" s="142"/>
    </row>
    <row r="362" ht="14.25" customHeight="1">
      <c r="F362" s="142"/>
    </row>
    <row r="363" ht="14.25" customHeight="1">
      <c r="F363" s="142"/>
    </row>
    <row r="364" ht="14.25" customHeight="1">
      <c r="F364" s="142"/>
    </row>
    <row r="365" ht="14.25" customHeight="1">
      <c r="F365" s="142"/>
    </row>
    <row r="366" ht="14.25" customHeight="1">
      <c r="F366" s="142"/>
    </row>
    <row r="367" ht="14.25" customHeight="1">
      <c r="F367" s="142"/>
    </row>
    <row r="368" ht="14.25" customHeight="1">
      <c r="F368" s="142"/>
    </row>
    <row r="369" ht="14.25" customHeight="1">
      <c r="F369" s="142"/>
    </row>
    <row r="370" ht="14.25" customHeight="1">
      <c r="F370" s="142"/>
    </row>
    <row r="371" ht="14.25" customHeight="1">
      <c r="F371" s="142"/>
    </row>
    <row r="372" ht="14.25" customHeight="1">
      <c r="F372" s="142"/>
    </row>
    <row r="373" ht="14.25" customHeight="1">
      <c r="F373" s="142"/>
    </row>
    <row r="374" ht="14.25" customHeight="1">
      <c r="F374" s="142"/>
    </row>
    <row r="375" ht="14.25" customHeight="1">
      <c r="F375" s="142"/>
    </row>
    <row r="376" ht="14.25" customHeight="1">
      <c r="F376" s="142"/>
    </row>
    <row r="377" ht="14.25" customHeight="1">
      <c r="F377" s="142"/>
    </row>
    <row r="378" ht="14.25" customHeight="1">
      <c r="F378" s="142"/>
    </row>
    <row r="379" ht="14.25" customHeight="1">
      <c r="F379" s="142"/>
    </row>
    <row r="380" ht="14.25" customHeight="1">
      <c r="F380" s="142"/>
    </row>
    <row r="381" ht="14.25" customHeight="1">
      <c r="F381" s="142"/>
    </row>
    <row r="382" ht="14.25" customHeight="1">
      <c r="F382" s="142"/>
    </row>
    <row r="383" ht="14.25" customHeight="1">
      <c r="F383" s="142"/>
    </row>
    <row r="384" ht="14.25" customHeight="1">
      <c r="F384" s="142"/>
    </row>
    <row r="385" ht="14.25" customHeight="1">
      <c r="F385" s="142"/>
    </row>
    <row r="386" ht="14.25" customHeight="1">
      <c r="F386" s="142"/>
    </row>
    <row r="387" ht="14.25" customHeight="1">
      <c r="F387" s="142"/>
    </row>
    <row r="388" ht="14.25" customHeight="1">
      <c r="F388" s="142"/>
    </row>
    <row r="389" ht="14.25" customHeight="1">
      <c r="F389" s="142"/>
    </row>
    <row r="390" ht="14.25" customHeight="1">
      <c r="F390" s="142"/>
    </row>
    <row r="391" ht="14.25" customHeight="1">
      <c r="F391" s="142"/>
    </row>
    <row r="392" ht="14.25" customHeight="1">
      <c r="F392" s="142"/>
    </row>
    <row r="393" ht="14.25" customHeight="1">
      <c r="F393" s="142"/>
    </row>
    <row r="394" ht="14.25" customHeight="1">
      <c r="F394" s="142"/>
    </row>
    <row r="395" ht="14.25" customHeight="1">
      <c r="F395" s="142"/>
    </row>
    <row r="396" ht="14.25" customHeight="1">
      <c r="F396" s="142"/>
    </row>
    <row r="397" ht="14.25" customHeight="1">
      <c r="F397" s="142"/>
    </row>
    <row r="398" ht="14.25" customHeight="1">
      <c r="F398" s="142"/>
    </row>
    <row r="399" ht="14.25" customHeight="1">
      <c r="F399" s="142"/>
    </row>
    <row r="400" ht="14.25" customHeight="1">
      <c r="F400" s="142"/>
    </row>
    <row r="401" ht="14.25" customHeight="1">
      <c r="F401" s="142"/>
    </row>
    <row r="402" ht="14.25" customHeight="1">
      <c r="F402" s="142"/>
    </row>
    <row r="403" ht="14.25" customHeight="1">
      <c r="F403" s="142"/>
    </row>
    <row r="404" ht="14.25" customHeight="1">
      <c r="F404" s="142"/>
    </row>
    <row r="405" ht="14.25" customHeight="1">
      <c r="F405" s="142"/>
    </row>
    <row r="406" ht="14.25" customHeight="1">
      <c r="F406" s="142"/>
    </row>
    <row r="407" ht="14.25" customHeight="1">
      <c r="F407" s="142"/>
    </row>
    <row r="408" ht="14.25" customHeight="1">
      <c r="F408" s="142"/>
    </row>
    <row r="409" ht="14.25" customHeight="1">
      <c r="F409" s="142"/>
    </row>
    <row r="410" ht="14.25" customHeight="1">
      <c r="F410" s="142"/>
    </row>
    <row r="411" ht="14.25" customHeight="1">
      <c r="F411" s="142"/>
    </row>
    <row r="412" ht="14.25" customHeight="1">
      <c r="F412" s="142"/>
    </row>
    <row r="413" ht="14.25" customHeight="1">
      <c r="F413" s="142"/>
    </row>
    <row r="414" ht="14.25" customHeight="1">
      <c r="F414" s="142"/>
    </row>
    <row r="415" ht="14.25" customHeight="1">
      <c r="F415" s="142"/>
    </row>
    <row r="416" ht="14.25" customHeight="1">
      <c r="F416" s="142"/>
    </row>
    <row r="417" ht="14.25" customHeight="1">
      <c r="F417" s="142"/>
    </row>
    <row r="418" ht="14.25" customHeight="1">
      <c r="F418" s="142"/>
    </row>
    <row r="419" ht="14.25" customHeight="1">
      <c r="F419" s="142"/>
    </row>
    <row r="420" ht="14.25" customHeight="1">
      <c r="F420" s="142"/>
    </row>
    <row r="421" ht="14.25" customHeight="1">
      <c r="F421" s="142"/>
    </row>
    <row r="422" ht="14.25" customHeight="1">
      <c r="F422" s="142"/>
    </row>
    <row r="423" ht="14.25" customHeight="1">
      <c r="F423" s="142"/>
    </row>
    <row r="424" ht="14.25" customHeight="1">
      <c r="F424" s="142"/>
    </row>
    <row r="425" ht="14.25" customHeight="1">
      <c r="F425" s="142"/>
    </row>
    <row r="426" ht="14.25" customHeight="1">
      <c r="F426" s="142"/>
    </row>
    <row r="427" ht="14.25" customHeight="1">
      <c r="F427" s="142"/>
    </row>
    <row r="428" ht="14.25" customHeight="1">
      <c r="F428" s="142"/>
    </row>
    <row r="429" ht="14.25" customHeight="1">
      <c r="F429" s="142"/>
    </row>
    <row r="430" ht="14.25" customHeight="1">
      <c r="F430" s="142"/>
    </row>
    <row r="431" ht="14.25" customHeight="1">
      <c r="F431" s="142"/>
    </row>
    <row r="432" ht="14.25" customHeight="1">
      <c r="F432" s="142"/>
    </row>
    <row r="433" ht="14.25" customHeight="1">
      <c r="F433" s="142"/>
    </row>
    <row r="434" ht="14.25" customHeight="1">
      <c r="F434" s="142"/>
    </row>
    <row r="435" ht="14.25" customHeight="1">
      <c r="F435" s="142"/>
    </row>
    <row r="436" ht="14.25" customHeight="1">
      <c r="F436" s="142"/>
    </row>
    <row r="437" ht="14.25" customHeight="1">
      <c r="F437" s="142"/>
    </row>
    <row r="438" ht="14.25" customHeight="1">
      <c r="F438" s="142"/>
    </row>
    <row r="439" ht="14.25" customHeight="1">
      <c r="F439" s="142"/>
    </row>
    <row r="440" ht="14.25" customHeight="1">
      <c r="F440" s="142"/>
    </row>
    <row r="441" ht="14.25" customHeight="1">
      <c r="F441" s="142"/>
    </row>
    <row r="442" ht="14.25" customHeight="1">
      <c r="F442" s="142"/>
    </row>
    <row r="443" ht="14.25" customHeight="1">
      <c r="F443" s="142"/>
    </row>
    <row r="444" ht="14.25" customHeight="1">
      <c r="F444" s="142"/>
    </row>
    <row r="445" ht="14.25" customHeight="1">
      <c r="F445" s="142"/>
    </row>
    <row r="446" ht="14.25" customHeight="1">
      <c r="F446" s="142"/>
    </row>
    <row r="447" ht="14.25" customHeight="1">
      <c r="F447" s="142"/>
    </row>
    <row r="448" ht="14.25" customHeight="1">
      <c r="F448" s="142"/>
    </row>
    <row r="449" ht="14.25" customHeight="1">
      <c r="F449" s="142"/>
    </row>
    <row r="450" ht="14.25" customHeight="1">
      <c r="F450" s="142"/>
    </row>
    <row r="451" ht="14.25" customHeight="1">
      <c r="F451" s="142"/>
    </row>
    <row r="452" ht="14.25" customHeight="1">
      <c r="F452" s="142"/>
    </row>
    <row r="453" ht="14.25" customHeight="1">
      <c r="F453" s="142"/>
    </row>
    <row r="454" ht="14.25" customHeight="1">
      <c r="F454" s="142"/>
    </row>
    <row r="455" ht="14.25" customHeight="1">
      <c r="F455" s="142"/>
    </row>
    <row r="456" ht="14.25" customHeight="1">
      <c r="F456" s="142"/>
    </row>
    <row r="457" ht="14.25" customHeight="1">
      <c r="F457" s="142"/>
    </row>
    <row r="458" ht="14.25" customHeight="1">
      <c r="F458" s="142"/>
    </row>
    <row r="459" ht="14.25" customHeight="1">
      <c r="F459" s="142"/>
    </row>
    <row r="460" ht="14.25" customHeight="1">
      <c r="F460" s="142"/>
    </row>
    <row r="461" ht="14.25" customHeight="1">
      <c r="F461" s="142"/>
    </row>
    <row r="462" ht="14.25" customHeight="1">
      <c r="F462" s="142"/>
    </row>
    <row r="463" ht="14.25" customHeight="1">
      <c r="F463" s="142"/>
    </row>
    <row r="464" ht="14.25" customHeight="1">
      <c r="F464" s="142"/>
    </row>
    <row r="465" ht="14.25" customHeight="1">
      <c r="F465" s="142"/>
    </row>
    <row r="466" ht="14.25" customHeight="1">
      <c r="F466" s="142"/>
    </row>
    <row r="467" ht="14.25" customHeight="1">
      <c r="F467" s="142"/>
    </row>
    <row r="468" ht="14.25" customHeight="1">
      <c r="F468" s="142"/>
    </row>
    <row r="469" ht="14.25" customHeight="1">
      <c r="F469" s="142"/>
    </row>
    <row r="470" ht="14.25" customHeight="1">
      <c r="F470" s="142"/>
    </row>
    <row r="471" ht="14.25" customHeight="1">
      <c r="F471" s="142"/>
    </row>
    <row r="472" ht="14.25" customHeight="1">
      <c r="F472" s="142"/>
    </row>
    <row r="473" ht="14.25" customHeight="1">
      <c r="F473" s="142"/>
    </row>
    <row r="474" ht="14.25" customHeight="1">
      <c r="F474" s="142"/>
    </row>
    <row r="475" ht="14.25" customHeight="1">
      <c r="F475" s="142"/>
    </row>
    <row r="476" ht="14.25" customHeight="1">
      <c r="F476" s="142"/>
    </row>
    <row r="477" ht="14.25" customHeight="1">
      <c r="F477" s="142"/>
    </row>
    <row r="478" ht="14.25" customHeight="1">
      <c r="F478" s="142"/>
    </row>
    <row r="479" ht="14.25" customHeight="1">
      <c r="F479" s="142"/>
    </row>
    <row r="480" ht="14.25" customHeight="1">
      <c r="F480" s="142"/>
    </row>
    <row r="481" ht="14.25" customHeight="1">
      <c r="F481" s="142"/>
    </row>
    <row r="482" ht="14.25" customHeight="1">
      <c r="F482" s="142"/>
    </row>
    <row r="483" ht="14.25" customHeight="1">
      <c r="F483" s="142"/>
    </row>
    <row r="484" ht="14.25" customHeight="1">
      <c r="F484" s="142"/>
    </row>
    <row r="485" ht="14.25" customHeight="1">
      <c r="F485" s="142"/>
    </row>
    <row r="486" ht="14.25" customHeight="1">
      <c r="F486" s="142"/>
    </row>
    <row r="487" ht="14.25" customHeight="1">
      <c r="F487" s="142"/>
    </row>
    <row r="488" ht="14.25" customHeight="1">
      <c r="F488" s="142"/>
    </row>
    <row r="489" ht="14.25" customHeight="1">
      <c r="F489" s="142"/>
    </row>
    <row r="490" ht="14.25" customHeight="1">
      <c r="F490" s="142"/>
    </row>
    <row r="491" ht="14.25" customHeight="1">
      <c r="F491" s="142"/>
    </row>
    <row r="492" ht="14.25" customHeight="1">
      <c r="F492" s="142"/>
    </row>
    <row r="493" ht="14.25" customHeight="1">
      <c r="F493" s="142"/>
    </row>
    <row r="494" ht="14.25" customHeight="1">
      <c r="F494" s="142"/>
    </row>
    <row r="495" ht="14.25" customHeight="1">
      <c r="F495" s="142"/>
    </row>
    <row r="496" ht="14.25" customHeight="1">
      <c r="F496" s="142"/>
    </row>
    <row r="497" ht="14.25" customHeight="1">
      <c r="F497" s="142"/>
    </row>
    <row r="498" ht="14.25" customHeight="1">
      <c r="F498" s="142"/>
    </row>
    <row r="499" ht="14.25" customHeight="1">
      <c r="F499" s="142"/>
    </row>
    <row r="500" ht="14.25" customHeight="1">
      <c r="F500" s="142"/>
    </row>
    <row r="501" ht="14.25" customHeight="1">
      <c r="F501" s="142"/>
    </row>
    <row r="502" ht="14.25" customHeight="1">
      <c r="F502" s="142"/>
    </row>
    <row r="503" ht="14.25" customHeight="1">
      <c r="F503" s="142"/>
    </row>
    <row r="504" ht="14.25" customHeight="1">
      <c r="F504" s="142"/>
    </row>
    <row r="505" ht="14.25" customHeight="1">
      <c r="F505" s="142"/>
    </row>
    <row r="506" ht="14.25" customHeight="1">
      <c r="F506" s="142"/>
    </row>
    <row r="507" ht="14.25" customHeight="1">
      <c r="F507" s="142"/>
    </row>
    <row r="508" ht="14.25" customHeight="1">
      <c r="F508" s="142"/>
    </row>
    <row r="509" ht="14.25" customHeight="1">
      <c r="F509" s="142"/>
    </row>
    <row r="510" ht="14.25" customHeight="1">
      <c r="F510" s="142"/>
    </row>
    <row r="511" ht="14.25" customHeight="1">
      <c r="F511" s="142"/>
    </row>
    <row r="512" ht="14.25" customHeight="1">
      <c r="F512" s="142"/>
    </row>
    <row r="513" ht="14.25" customHeight="1">
      <c r="F513" s="142"/>
    </row>
    <row r="514" ht="14.25" customHeight="1">
      <c r="F514" s="142"/>
    </row>
    <row r="515" ht="14.25" customHeight="1">
      <c r="F515" s="142"/>
    </row>
    <row r="516" ht="14.25" customHeight="1">
      <c r="F516" s="142"/>
    </row>
    <row r="517" ht="14.25" customHeight="1">
      <c r="F517" s="142"/>
    </row>
    <row r="518" ht="14.25" customHeight="1">
      <c r="F518" s="142"/>
    </row>
    <row r="519" ht="14.25" customHeight="1">
      <c r="F519" s="142"/>
    </row>
    <row r="520" ht="14.25" customHeight="1">
      <c r="F520" s="142"/>
    </row>
    <row r="521" ht="14.25" customHeight="1">
      <c r="F521" s="142"/>
    </row>
    <row r="522" ht="14.25" customHeight="1">
      <c r="F522" s="142"/>
    </row>
    <row r="523" ht="14.25" customHeight="1">
      <c r="F523" s="142"/>
    </row>
    <row r="524" ht="14.25" customHeight="1">
      <c r="F524" s="142"/>
    </row>
    <row r="525" ht="14.25" customHeight="1">
      <c r="F525" s="142"/>
    </row>
    <row r="526" ht="14.25" customHeight="1">
      <c r="F526" s="142"/>
    </row>
    <row r="527" ht="14.25" customHeight="1">
      <c r="F527" s="142"/>
    </row>
    <row r="528" ht="14.25" customHeight="1">
      <c r="F528" s="142"/>
    </row>
    <row r="529" ht="14.25" customHeight="1">
      <c r="F529" s="142"/>
    </row>
    <row r="530" ht="14.25" customHeight="1">
      <c r="F530" s="142"/>
    </row>
    <row r="531" ht="14.25" customHeight="1">
      <c r="F531" s="142"/>
    </row>
    <row r="532" ht="14.25" customHeight="1">
      <c r="F532" s="142"/>
    </row>
    <row r="533" ht="14.25" customHeight="1">
      <c r="F533" s="142"/>
    </row>
    <row r="534" ht="14.25" customHeight="1">
      <c r="F534" s="142"/>
    </row>
    <row r="535" ht="14.25" customHeight="1">
      <c r="F535" s="142"/>
    </row>
    <row r="536" ht="14.25" customHeight="1">
      <c r="F536" s="142"/>
    </row>
    <row r="537" ht="14.25" customHeight="1">
      <c r="F537" s="142"/>
    </row>
    <row r="538" ht="14.25" customHeight="1">
      <c r="F538" s="142"/>
    </row>
    <row r="539" ht="14.25" customHeight="1">
      <c r="F539" s="142"/>
    </row>
    <row r="540" ht="14.25" customHeight="1">
      <c r="F540" s="142"/>
    </row>
    <row r="541" ht="14.25" customHeight="1">
      <c r="F541" s="142"/>
    </row>
    <row r="542" ht="14.25" customHeight="1">
      <c r="F542" s="142"/>
    </row>
    <row r="543" ht="14.25" customHeight="1">
      <c r="F543" s="142"/>
    </row>
    <row r="544" ht="14.25" customHeight="1">
      <c r="F544" s="142"/>
    </row>
    <row r="545" ht="14.25" customHeight="1">
      <c r="F545" s="142"/>
    </row>
    <row r="546" ht="14.25" customHeight="1">
      <c r="F546" s="142"/>
    </row>
    <row r="547" ht="14.25" customHeight="1">
      <c r="F547" s="142"/>
    </row>
    <row r="548" ht="14.25" customHeight="1">
      <c r="F548" s="142"/>
    </row>
    <row r="549" ht="14.25" customHeight="1">
      <c r="F549" s="142"/>
    </row>
    <row r="550" ht="14.25" customHeight="1">
      <c r="F550" s="142"/>
    </row>
    <row r="551" ht="14.25" customHeight="1">
      <c r="F551" s="142"/>
    </row>
    <row r="552" ht="14.25" customHeight="1">
      <c r="F552" s="142"/>
    </row>
    <row r="553" ht="14.25" customHeight="1">
      <c r="F553" s="142"/>
    </row>
    <row r="554" ht="14.25" customHeight="1">
      <c r="F554" s="142"/>
    </row>
    <row r="555" ht="14.25" customHeight="1">
      <c r="F555" s="142"/>
    </row>
    <row r="556" ht="14.25" customHeight="1">
      <c r="F556" s="142"/>
    </row>
    <row r="557" ht="14.25" customHeight="1">
      <c r="F557" s="142"/>
    </row>
    <row r="558" ht="14.25" customHeight="1">
      <c r="F558" s="142"/>
    </row>
    <row r="559" ht="14.25" customHeight="1">
      <c r="F559" s="142"/>
    </row>
    <row r="560" ht="14.25" customHeight="1">
      <c r="F560" s="142"/>
    </row>
    <row r="561" ht="14.25" customHeight="1">
      <c r="F561" s="142"/>
    </row>
    <row r="562" ht="14.25" customHeight="1">
      <c r="F562" s="142"/>
    </row>
    <row r="563" ht="14.25" customHeight="1">
      <c r="F563" s="142"/>
    </row>
    <row r="564" ht="14.25" customHeight="1">
      <c r="F564" s="142"/>
    </row>
    <row r="565" ht="14.25" customHeight="1">
      <c r="F565" s="142"/>
    </row>
    <row r="566" ht="14.25" customHeight="1">
      <c r="F566" s="142"/>
    </row>
    <row r="567" ht="14.25" customHeight="1">
      <c r="F567" s="142"/>
    </row>
    <row r="568" ht="14.25" customHeight="1">
      <c r="F568" s="142"/>
    </row>
    <row r="569" ht="14.25" customHeight="1">
      <c r="F569" s="142"/>
    </row>
    <row r="570" ht="14.25" customHeight="1">
      <c r="F570" s="142"/>
    </row>
    <row r="571" ht="14.25" customHeight="1">
      <c r="F571" s="142"/>
    </row>
    <row r="572" ht="14.25" customHeight="1">
      <c r="F572" s="142"/>
    </row>
    <row r="573" ht="14.25" customHeight="1">
      <c r="F573" s="142"/>
    </row>
    <row r="574" ht="14.25" customHeight="1">
      <c r="F574" s="142"/>
    </row>
    <row r="575" ht="14.25" customHeight="1">
      <c r="F575" s="142"/>
    </row>
    <row r="576" ht="14.25" customHeight="1">
      <c r="F576" s="142"/>
    </row>
    <row r="577" ht="14.25" customHeight="1">
      <c r="F577" s="142"/>
    </row>
    <row r="578" ht="14.25" customHeight="1">
      <c r="F578" s="142"/>
    </row>
    <row r="579" ht="14.25" customHeight="1">
      <c r="F579" s="142"/>
    </row>
    <row r="580" ht="14.25" customHeight="1">
      <c r="F580" s="142"/>
    </row>
    <row r="581" ht="14.25" customHeight="1">
      <c r="F581" s="142"/>
    </row>
    <row r="582" ht="14.25" customHeight="1">
      <c r="F582" s="142"/>
    </row>
    <row r="583" ht="14.25" customHeight="1">
      <c r="F583" s="142"/>
    </row>
    <row r="584" ht="14.25" customHeight="1">
      <c r="F584" s="142"/>
    </row>
    <row r="585" ht="14.25" customHeight="1">
      <c r="F585" s="142"/>
    </row>
    <row r="586" ht="14.25" customHeight="1">
      <c r="F586" s="142"/>
    </row>
    <row r="587" ht="14.25" customHeight="1">
      <c r="F587" s="142"/>
    </row>
    <row r="588" ht="14.25" customHeight="1">
      <c r="F588" s="142"/>
    </row>
    <row r="589" ht="14.25" customHeight="1">
      <c r="F589" s="142"/>
    </row>
    <row r="590" ht="14.25" customHeight="1">
      <c r="F590" s="142"/>
    </row>
    <row r="591" ht="14.25" customHeight="1">
      <c r="F591" s="142"/>
    </row>
    <row r="592" ht="14.25" customHeight="1">
      <c r="F592" s="142"/>
    </row>
    <row r="593" ht="14.25" customHeight="1">
      <c r="F593" s="142"/>
    </row>
    <row r="594" ht="14.25" customHeight="1">
      <c r="F594" s="142"/>
    </row>
    <row r="595" ht="14.25" customHeight="1">
      <c r="F595" s="142"/>
    </row>
    <row r="596" ht="14.25" customHeight="1">
      <c r="F596" s="142"/>
    </row>
    <row r="597" ht="14.25" customHeight="1">
      <c r="F597" s="142"/>
    </row>
    <row r="598" ht="14.25" customHeight="1">
      <c r="F598" s="142"/>
    </row>
    <row r="599" ht="14.25" customHeight="1">
      <c r="F599" s="142"/>
    </row>
    <row r="600" ht="14.25" customHeight="1">
      <c r="F600" s="142"/>
    </row>
    <row r="601" ht="14.25" customHeight="1">
      <c r="F601" s="142"/>
    </row>
    <row r="602" ht="14.25" customHeight="1">
      <c r="F602" s="142"/>
    </row>
    <row r="603" ht="14.25" customHeight="1">
      <c r="F603" s="142"/>
    </row>
    <row r="604" ht="14.25" customHeight="1">
      <c r="F604" s="142"/>
    </row>
    <row r="605" ht="14.25" customHeight="1">
      <c r="F605" s="142"/>
    </row>
    <row r="606" ht="14.25" customHeight="1">
      <c r="F606" s="142"/>
    </row>
    <row r="607" ht="14.25" customHeight="1">
      <c r="F607" s="142"/>
    </row>
    <row r="608" ht="14.25" customHeight="1">
      <c r="F608" s="142"/>
    </row>
    <row r="609" ht="14.25" customHeight="1">
      <c r="F609" s="142"/>
    </row>
    <row r="610" ht="14.25" customHeight="1">
      <c r="F610" s="142"/>
    </row>
    <row r="611" ht="14.25" customHeight="1">
      <c r="F611" s="142"/>
    </row>
    <row r="612" ht="14.25" customHeight="1">
      <c r="F612" s="142"/>
    </row>
    <row r="613" ht="14.25" customHeight="1">
      <c r="F613" s="142"/>
    </row>
    <row r="614" ht="14.25" customHeight="1">
      <c r="F614" s="142"/>
    </row>
    <row r="615" ht="14.25" customHeight="1">
      <c r="F615" s="142"/>
    </row>
    <row r="616" ht="14.25" customHeight="1">
      <c r="F616" s="142"/>
    </row>
    <row r="617" ht="14.25" customHeight="1">
      <c r="F617" s="142"/>
    </row>
    <row r="618" ht="14.25" customHeight="1">
      <c r="F618" s="142"/>
    </row>
    <row r="619" ht="14.25" customHeight="1">
      <c r="F619" s="142"/>
    </row>
    <row r="620" ht="14.25" customHeight="1">
      <c r="F620" s="142"/>
    </row>
    <row r="621" ht="14.25" customHeight="1">
      <c r="F621" s="142"/>
    </row>
    <row r="622" ht="14.25" customHeight="1">
      <c r="F622" s="142"/>
    </row>
    <row r="623" ht="14.25" customHeight="1">
      <c r="F623" s="142"/>
    </row>
    <row r="624" ht="14.25" customHeight="1">
      <c r="F624" s="142"/>
    </row>
    <row r="625" ht="14.25" customHeight="1">
      <c r="F625" s="142"/>
    </row>
    <row r="626" ht="14.25" customHeight="1">
      <c r="F626" s="142"/>
    </row>
    <row r="627" ht="14.25" customHeight="1">
      <c r="F627" s="142"/>
    </row>
    <row r="628" ht="14.25" customHeight="1">
      <c r="F628" s="142"/>
    </row>
    <row r="629" ht="14.25" customHeight="1">
      <c r="F629" s="142"/>
    </row>
    <row r="630" ht="14.25" customHeight="1">
      <c r="F630" s="142"/>
    </row>
    <row r="631" ht="14.25" customHeight="1">
      <c r="F631" s="142"/>
    </row>
    <row r="632" ht="14.25" customHeight="1">
      <c r="F632" s="142"/>
    </row>
    <row r="633" ht="14.25" customHeight="1">
      <c r="F633" s="142"/>
    </row>
    <row r="634" ht="14.25" customHeight="1">
      <c r="F634" s="142"/>
    </row>
    <row r="635" ht="14.25" customHeight="1">
      <c r="F635" s="142"/>
    </row>
    <row r="636" ht="14.25" customHeight="1">
      <c r="F636" s="142"/>
    </row>
    <row r="637" ht="14.25" customHeight="1">
      <c r="F637" s="142"/>
    </row>
    <row r="638" ht="14.25" customHeight="1">
      <c r="F638" s="142"/>
    </row>
    <row r="639" ht="14.25" customHeight="1">
      <c r="F639" s="142"/>
    </row>
    <row r="640" ht="14.25" customHeight="1">
      <c r="F640" s="142"/>
    </row>
    <row r="641" ht="14.25" customHeight="1">
      <c r="F641" s="142"/>
    </row>
    <row r="642" ht="14.25" customHeight="1">
      <c r="F642" s="142"/>
    </row>
    <row r="643" ht="14.25" customHeight="1">
      <c r="F643" s="142"/>
    </row>
    <row r="644" ht="14.25" customHeight="1">
      <c r="F644" s="142"/>
    </row>
    <row r="645" ht="14.25" customHeight="1">
      <c r="F645" s="142"/>
    </row>
    <row r="646" ht="14.25" customHeight="1">
      <c r="F646" s="142"/>
    </row>
    <row r="647" ht="14.25" customHeight="1">
      <c r="F647" s="142"/>
    </row>
    <row r="648" ht="14.25" customHeight="1">
      <c r="F648" s="142"/>
    </row>
    <row r="649" ht="14.25" customHeight="1">
      <c r="F649" s="142"/>
    </row>
    <row r="650" ht="14.25" customHeight="1">
      <c r="F650" s="142"/>
    </row>
    <row r="651" ht="14.25" customHeight="1">
      <c r="F651" s="142"/>
    </row>
    <row r="652" ht="14.25" customHeight="1">
      <c r="F652" s="142"/>
    </row>
    <row r="653" ht="14.25" customHeight="1">
      <c r="F653" s="142"/>
    </row>
    <row r="654" ht="14.25" customHeight="1">
      <c r="F654" s="142"/>
    </row>
    <row r="655" ht="14.25" customHeight="1">
      <c r="F655" s="142"/>
    </row>
    <row r="656" ht="14.25" customHeight="1">
      <c r="F656" s="142"/>
    </row>
    <row r="657" ht="14.25" customHeight="1">
      <c r="F657" s="142"/>
    </row>
    <row r="658" ht="14.25" customHeight="1">
      <c r="F658" s="142"/>
    </row>
    <row r="659" ht="14.25" customHeight="1">
      <c r="F659" s="142"/>
    </row>
    <row r="660" ht="14.25" customHeight="1">
      <c r="F660" s="142"/>
    </row>
    <row r="661" ht="14.25" customHeight="1">
      <c r="F661" s="142"/>
    </row>
    <row r="662" ht="14.25" customHeight="1">
      <c r="F662" s="142"/>
    </row>
    <row r="663" ht="14.25" customHeight="1">
      <c r="F663" s="142"/>
    </row>
    <row r="664" ht="14.25" customHeight="1">
      <c r="F664" s="142"/>
    </row>
    <row r="665" ht="14.25" customHeight="1">
      <c r="F665" s="142"/>
    </row>
    <row r="666" ht="14.25" customHeight="1">
      <c r="F666" s="142"/>
    </row>
    <row r="667" ht="14.25" customHeight="1">
      <c r="F667" s="142"/>
    </row>
    <row r="668" ht="14.25" customHeight="1">
      <c r="F668" s="142"/>
    </row>
    <row r="669" ht="14.25" customHeight="1">
      <c r="F669" s="142"/>
    </row>
    <row r="670" ht="14.25" customHeight="1">
      <c r="F670" s="142"/>
    </row>
    <row r="671" ht="14.25" customHeight="1">
      <c r="F671" s="142"/>
    </row>
    <row r="672" ht="14.25" customHeight="1">
      <c r="F672" s="142"/>
    </row>
    <row r="673" ht="14.25" customHeight="1">
      <c r="F673" s="142"/>
    </row>
    <row r="674" ht="14.25" customHeight="1">
      <c r="F674" s="142"/>
    </row>
    <row r="675" ht="14.25" customHeight="1">
      <c r="F675" s="142"/>
    </row>
    <row r="676" ht="14.25" customHeight="1">
      <c r="F676" s="142"/>
    </row>
    <row r="677" ht="14.25" customHeight="1">
      <c r="F677" s="142"/>
    </row>
    <row r="678" ht="14.25" customHeight="1">
      <c r="F678" s="142"/>
    </row>
    <row r="679" ht="14.25" customHeight="1">
      <c r="F679" s="142"/>
    </row>
    <row r="680" ht="14.25" customHeight="1">
      <c r="F680" s="142"/>
    </row>
    <row r="681" ht="14.25" customHeight="1">
      <c r="F681" s="142"/>
    </row>
    <row r="682" ht="14.25" customHeight="1">
      <c r="F682" s="142"/>
    </row>
    <row r="683" ht="14.25" customHeight="1">
      <c r="F683" s="142"/>
    </row>
    <row r="684" ht="14.25" customHeight="1">
      <c r="F684" s="142"/>
    </row>
    <row r="685" ht="14.25" customHeight="1">
      <c r="F685" s="142"/>
    </row>
    <row r="686" ht="14.25" customHeight="1">
      <c r="F686" s="142"/>
    </row>
    <row r="687" ht="14.25" customHeight="1">
      <c r="F687" s="142"/>
    </row>
    <row r="688" ht="14.25" customHeight="1">
      <c r="F688" s="142"/>
    </row>
    <row r="689" ht="14.25" customHeight="1">
      <c r="F689" s="142"/>
    </row>
    <row r="690" ht="14.25" customHeight="1">
      <c r="F690" s="142"/>
    </row>
    <row r="691" ht="14.25" customHeight="1">
      <c r="F691" s="142"/>
    </row>
    <row r="692" ht="14.25" customHeight="1">
      <c r="F692" s="142"/>
    </row>
    <row r="693" ht="14.25" customHeight="1">
      <c r="F693" s="142"/>
    </row>
    <row r="694" ht="14.25" customHeight="1">
      <c r="F694" s="142"/>
    </row>
    <row r="695" ht="14.25" customHeight="1">
      <c r="F695" s="142"/>
    </row>
    <row r="696" ht="14.25" customHeight="1">
      <c r="F696" s="142"/>
    </row>
    <row r="697" ht="14.25" customHeight="1">
      <c r="F697" s="142"/>
    </row>
    <row r="698" ht="14.25" customHeight="1">
      <c r="F698" s="142"/>
    </row>
    <row r="699" ht="14.25" customHeight="1">
      <c r="F699" s="142"/>
    </row>
    <row r="700" ht="14.25" customHeight="1">
      <c r="F700" s="142"/>
    </row>
    <row r="701" ht="14.25" customHeight="1">
      <c r="F701" s="142"/>
    </row>
    <row r="702" ht="14.25" customHeight="1">
      <c r="F702" s="142"/>
    </row>
    <row r="703" ht="14.25" customHeight="1">
      <c r="F703" s="142"/>
    </row>
    <row r="704" ht="14.25" customHeight="1">
      <c r="F704" s="142"/>
    </row>
    <row r="705" ht="14.25" customHeight="1">
      <c r="F705" s="142"/>
    </row>
    <row r="706" ht="14.25" customHeight="1">
      <c r="F706" s="142"/>
    </row>
    <row r="707" ht="14.25" customHeight="1">
      <c r="F707" s="142"/>
    </row>
    <row r="708" ht="14.25" customHeight="1">
      <c r="F708" s="142"/>
    </row>
    <row r="709" ht="14.25" customHeight="1">
      <c r="F709" s="142"/>
    </row>
    <row r="710" ht="14.25" customHeight="1">
      <c r="F710" s="142"/>
    </row>
    <row r="711" ht="14.25" customHeight="1">
      <c r="F711" s="142"/>
    </row>
    <row r="712" ht="14.25" customHeight="1">
      <c r="F712" s="142"/>
    </row>
    <row r="713" ht="14.25" customHeight="1">
      <c r="F713" s="142"/>
    </row>
    <row r="714" ht="14.25" customHeight="1">
      <c r="F714" s="142"/>
    </row>
    <row r="715" ht="14.25" customHeight="1">
      <c r="F715" s="142"/>
    </row>
    <row r="716" ht="14.25" customHeight="1">
      <c r="F716" s="142"/>
    </row>
    <row r="717" ht="14.25" customHeight="1">
      <c r="F717" s="142"/>
    </row>
    <row r="718" ht="14.25" customHeight="1">
      <c r="F718" s="142"/>
    </row>
    <row r="719" ht="14.25" customHeight="1">
      <c r="F719" s="142"/>
    </row>
    <row r="720" ht="14.25" customHeight="1">
      <c r="F720" s="142"/>
    </row>
    <row r="721" ht="14.25" customHeight="1">
      <c r="F721" s="142"/>
    </row>
    <row r="722" ht="14.25" customHeight="1">
      <c r="F722" s="142"/>
    </row>
    <row r="723" ht="14.25" customHeight="1">
      <c r="F723" s="142"/>
    </row>
    <row r="724" ht="14.25" customHeight="1">
      <c r="F724" s="142"/>
    </row>
    <row r="725" ht="14.25" customHeight="1">
      <c r="F725" s="142"/>
    </row>
    <row r="726" ht="14.25" customHeight="1">
      <c r="F726" s="142"/>
    </row>
    <row r="727" ht="14.25" customHeight="1">
      <c r="F727" s="142"/>
    </row>
    <row r="728" ht="14.25" customHeight="1">
      <c r="F728" s="142"/>
    </row>
    <row r="729" ht="14.25" customHeight="1">
      <c r="F729" s="142"/>
    </row>
    <row r="730" ht="14.25" customHeight="1">
      <c r="F730" s="142"/>
    </row>
    <row r="731" ht="14.25" customHeight="1">
      <c r="F731" s="142"/>
    </row>
    <row r="732" ht="14.25" customHeight="1">
      <c r="F732" s="142"/>
    </row>
    <row r="733" ht="14.25" customHeight="1">
      <c r="F733" s="142"/>
    </row>
    <row r="734" ht="14.25" customHeight="1">
      <c r="F734" s="142"/>
    </row>
    <row r="735" ht="14.25" customHeight="1">
      <c r="F735" s="142"/>
    </row>
    <row r="736" ht="14.25" customHeight="1">
      <c r="F736" s="142"/>
    </row>
    <row r="737" ht="14.25" customHeight="1">
      <c r="F737" s="142"/>
    </row>
    <row r="738" ht="14.25" customHeight="1">
      <c r="F738" s="142"/>
    </row>
    <row r="739" ht="14.25" customHeight="1">
      <c r="F739" s="142"/>
    </row>
    <row r="740" ht="14.25" customHeight="1">
      <c r="F740" s="142"/>
    </row>
    <row r="741" ht="14.25" customHeight="1">
      <c r="F741" s="142"/>
    </row>
    <row r="742" ht="14.25" customHeight="1">
      <c r="F742" s="142"/>
    </row>
    <row r="743" ht="14.25" customHeight="1">
      <c r="F743" s="142"/>
    </row>
    <row r="744" ht="14.25" customHeight="1">
      <c r="F744" s="142"/>
    </row>
    <row r="745" ht="14.25" customHeight="1">
      <c r="F745" s="142"/>
    </row>
    <row r="746" ht="14.25" customHeight="1">
      <c r="F746" s="142"/>
    </row>
    <row r="747" ht="14.25" customHeight="1">
      <c r="F747" s="142"/>
    </row>
    <row r="748" ht="14.25" customHeight="1">
      <c r="F748" s="142"/>
    </row>
    <row r="749" ht="14.25" customHeight="1">
      <c r="F749" s="142"/>
    </row>
    <row r="750" ht="14.25" customHeight="1">
      <c r="F750" s="142"/>
    </row>
    <row r="751" ht="14.25" customHeight="1">
      <c r="F751" s="142"/>
    </row>
    <row r="752" ht="14.25" customHeight="1">
      <c r="F752" s="142"/>
    </row>
    <row r="753" ht="14.25" customHeight="1">
      <c r="F753" s="142"/>
    </row>
    <row r="754" ht="14.25" customHeight="1">
      <c r="F754" s="142"/>
    </row>
    <row r="755" ht="14.25" customHeight="1">
      <c r="F755" s="142"/>
    </row>
    <row r="756" ht="14.25" customHeight="1">
      <c r="F756" s="142"/>
    </row>
    <row r="757" ht="14.25" customHeight="1">
      <c r="F757" s="142"/>
    </row>
    <row r="758" ht="14.25" customHeight="1">
      <c r="F758" s="142"/>
    </row>
    <row r="759" ht="14.25" customHeight="1">
      <c r="F759" s="142"/>
    </row>
    <row r="760" ht="14.25" customHeight="1">
      <c r="F760" s="142"/>
    </row>
    <row r="761" ht="14.25" customHeight="1">
      <c r="F761" s="142"/>
    </row>
    <row r="762" ht="14.25" customHeight="1">
      <c r="F762" s="142"/>
    </row>
    <row r="763" ht="14.25" customHeight="1">
      <c r="F763" s="142"/>
    </row>
    <row r="764" ht="14.25" customHeight="1">
      <c r="F764" s="142"/>
    </row>
    <row r="765" ht="14.25" customHeight="1">
      <c r="F765" s="142"/>
    </row>
    <row r="766" ht="14.25" customHeight="1">
      <c r="F766" s="142"/>
    </row>
    <row r="767" ht="14.25" customHeight="1">
      <c r="F767" s="142"/>
    </row>
    <row r="768" ht="14.25" customHeight="1">
      <c r="F768" s="142"/>
    </row>
    <row r="769" ht="14.25" customHeight="1">
      <c r="F769" s="142"/>
    </row>
    <row r="770" ht="14.25" customHeight="1">
      <c r="F770" s="142"/>
    </row>
    <row r="771" ht="14.25" customHeight="1">
      <c r="F771" s="142"/>
    </row>
    <row r="772" ht="14.25" customHeight="1">
      <c r="F772" s="142"/>
    </row>
    <row r="773" ht="14.25" customHeight="1">
      <c r="F773" s="142"/>
    </row>
    <row r="774" ht="14.25" customHeight="1">
      <c r="F774" s="142"/>
    </row>
    <row r="775" ht="14.25" customHeight="1">
      <c r="F775" s="142"/>
    </row>
    <row r="776" ht="14.25" customHeight="1">
      <c r="F776" s="142"/>
    </row>
    <row r="777" ht="14.25" customHeight="1">
      <c r="F777" s="142"/>
    </row>
    <row r="778" ht="14.25" customHeight="1">
      <c r="F778" s="142"/>
    </row>
    <row r="779" ht="14.25" customHeight="1">
      <c r="F779" s="142"/>
    </row>
    <row r="780" ht="14.25" customHeight="1">
      <c r="F780" s="142"/>
    </row>
    <row r="781" ht="14.25" customHeight="1">
      <c r="F781" s="142"/>
    </row>
    <row r="782" ht="14.25" customHeight="1">
      <c r="F782" s="142"/>
    </row>
    <row r="783" ht="14.25" customHeight="1">
      <c r="F783" s="142"/>
    </row>
    <row r="784" ht="14.25" customHeight="1">
      <c r="F784" s="142"/>
    </row>
    <row r="785" ht="14.25" customHeight="1">
      <c r="F785" s="142"/>
    </row>
    <row r="786" ht="14.25" customHeight="1">
      <c r="F786" s="142"/>
    </row>
    <row r="787" ht="14.25" customHeight="1">
      <c r="F787" s="142"/>
    </row>
    <row r="788" ht="14.25" customHeight="1">
      <c r="F788" s="142"/>
    </row>
    <row r="789" ht="14.25" customHeight="1">
      <c r="F789" s="142"/>
    </row>
    <row r="790" ht="14.25" customHeight="1">
      <c r="F790" s="142"/>
    </row>
    <row r="791" ht="14.25" customHeight="1">
      <c r="F791" s="142"/>
    </row>
    <row r="792" ht="14.25" customHeight="1">
      <c r="F792" s="142"/>
    </row>
    <row r="793" ht="14.25" customHeight="1">
      <c r="F793" s="142"/>
    </row>
    <row r="794" ht="14.25" customHeight="1">
      <c r="F794" s="142"/>
    </row>
    <row r="795" ht="14.25" customHeight="1">
      <c r="F795" s="142"/>
    </row>
    <row r="796" ht="14.25" customHeight="1">
      <c r="F796" s="142"/>
    </row>
    <row r="797" ht="14.25" customHeight="1">
      <c r="F797" s="142"/>
    </row>
    <row r="798" ht="14.25" customHeight="1">
      <c r="F798" s="142"/>
    </row>
    <row r="799" ht="14.25" customHeight="1">
      <c r="F799" s="142"/>
    </row>
    <row r="800" ht="14.25" customHeight="1">
      <c r="F800" s="142"/>
    </row>
    <row r="801" ht="14.25" customHeight="1">
      <c r="F801" s="142"/>
    </row>
    <row r="802" ht="14.25" customHeight="1">
      <c r="F802" s="142"/>
    </row>
    <row r="803" ht="14.25" customHeight="1">
      <c r="F803" s="142"/>
    </row>
    <row r="804" ht="14.25" customHeight="1">
      <c r="F804" s="142"/>
    </row>
    <row r="805" ht="14.25" customHeight="1">
      <c r="F805" s="142"/>
    </row>
    <row r="806" ht="14.25" customHeight="1">
      <c r="F806" s="142"/>
    </row>
    <row r="807" ht="14.25" customHeight="1">
      <c r="F807" s="142"/>
    </row>
    <row r="808" ht="14.25" customHeight="1">
      <c r="F808" s="142"/>
    </row>
    <row r="809" ht="14.25" customHeight="1">
      <c r="F809" s="142"/>
    </row>
    <row r="810" ht="14.25" customHeight="1">
      <c r="F810" s="142"/>
    </row>
    <row r="811" ht="14.25" customHeight="1">
      <c r="F811" s="142"/>
    </row>
    <row r="812" ht="14.25" customHeight="1">
      <c r="F812" s="142"/>
    </row>
    <row r="813" ht="14.25" customHeight="1">
      <c r="F813" s="142"/>
    </row>
    <row r="814" ht="14.25" customHeight="1">
      <c r="F814" s="142"/>
    </row>
    <row r="815" ht="14.25" customHeight="1">
      <c r="F815" s="142"/>
    </row>
    <row r="816" ht="14.25" customHeight="1">
      <c r="F816" s="142"/>
    </row>
    <row r="817" ht="14.25" customHeight="1">
      <c r="F817" s="142"/>
    </row>
    <row r="818" ht="14.25" customHeight="1">
      <c r="F818" s="142"/>
    </row>
    <row r="819" ht="14.25" customHeight="1">
      <c r="F819" s="142"/>
    </row>
    <row r="820" ht="14.25" customHeight="1">
      <c r="F820" s="142"/>
    </row>
    <row r="821" ht="14.25" customHeight="1">
      <c r="F821" s="142"/>
    </row>
    <row r="822" ht="14.25" customHeight="1">
      <c r="F822" s="142"/>
    </row>
    <row r="823" ht="14.25" customHeight="1">
      <c r="F823" s="142"/>
    </row>
    <row r="824" ht="14.25" customHeight="1">
      <c r="F824" s="142"/>
    </row>
    <row r="825" ht="14.25" customHeight="1">
      <c r="F825" s="142"/>
    </row>
    <row r="826" ht="14.25" customHeight="1">
      <c r="F826" s="142"/>
    </row>
    <row r="827" ht="14.25" customHeight="1">
      <c r="F827" s="142"/>
    </row>
    <row r="828" ht="14.25" customHeight="1">
      <c r="F828" s="142"/>
    </row>
    <row r="829" ht="14.25" customHeight="1">
      <c r="F829" s="142"/>
    </row>
    <row r="830" ht="14.25" customHeight="1">
      <c r="F830" s="142"/>
    </row>
    <row r="831" ht="14.25" customHeight="1">
      <c r="F831" s="142"/>
    </row>
    <row r="832" ht="14.25" customHeight="1">
      <c r="F832" s="142"/>
    </row>
    <row r="833" ht="14.25" customHeight="1">
      <c r="F833" s="142"/>
    </row>
    <row r="834" ht="14.25" customHeight="1">
      <c r="F834" s="142"/>
    </row>
    <row r="835" ht="14.25" customHeight="1">
      <c r="F835" s="142"/>
    </row>
    <row r="836" ht="14.25" customHeight="1">
      <c r="F836" s="142"/>
    </row>
    <row r="837" ht="14.25" customHeight="1">
      <c r="F837" s="142"/>
    </row>
    <row r="838" ht="14.25" customHeight="1">
      <c r="F838" s="142"/>
    </row>
    <row r="839" ht="14.25" customHeight="1">
      <c r="F839" s="142"/>
    </row>
    <row r="840" ht="14.25" customHeight="1">
      <c r="F840" s="142"/>
    </row>
    <row r="841" ht="14.25" customHeight="1">
      <c r="F841" s="142"/>
    </row>
    <row r="842" ht="14.25" customHeight="1">
      <c r="F842" s="142"/>
    </row>
    <row r="843" ht="14.25" customHeight="1">
      <c r="F843" s="142"/>
    </row>
    <row r="844" ht="14.25" customHeight="1">
      <c r="F844" s="142"/>
    </row>
    <row r="845" ht="14.25" customHeight="1">
      <c r="F845" s="142"/>
    </row>
    <row r="846" ht="14.25" customHeight="1">
      <c r="F846" s="142"/>
    </row>
    <row r="847" ht="14.25" customHeight="1">
      <c r="F847" s="142"/>
    </row>
    <row r="848" ht="14.25" customHeight="1">
      <c r="F848" s="142"/>
    </row>
    <row r="849" ht="14.25" customHeight="1">
      <c r="F849" s="142"/>
    </row>
    <row r="850" ht="14.25" customHeight="1">
      <c r="F850" s="142"/>
    </row>
    <row r="851" ht="14.25" customHeight="1">
      <c r="F851" s="142"/>
    </row>
    <row r="852" ht="14.25" customHeight="1">
      <c r="F852" s="142"/>
    </row>
    <row r="853" ht="14.25" customHeight="1">
      <c r="F853" s="142"/>
    </row>
    <row r="854" ht="14.25" customHeight="1">
      <c r="F854" s="142"/>
    </row>
    <row r="855" ht="14.25" customHeight="1">
      <c r="F855" s="142"/>
    </row>
    <row r="856" ht="14.25" customHeight="1">
      <c r="F856" s="142"/>
    </row>
    <row r="857" ht="14.25" customHeight="1">
      <c r="F857" s="142"/>
    </row>
    <row r="858" ht="14.25" customHeight="1">
      <c r="F858" s="142"/>
    </row>
    <row r="859" ht="14.25" customHeight="1">
      <c r="F859" s="142"/>
    </row>
    <row r="860" ht="14.25" customHeight="1">
      <c r="F860" s="142"/>
    </row>
    <row r="861" ht="14.25" customHeight="1">
      <c r="F861" s="142"/>
    </row>
    <row r="862" ht="14.25" customHeight="1">
      <c r="F862" s="142"/>
    </row>
    <row r="863" ht="14.25" customHeight="1">
      <c r="F863" s="142"/>
    </row>
    <row r="864" ht="14.25" customHeight="1">
      <c r="F864" s="142"/>
    </row>
    <row r="865" ht="14.25" customHeight="1">
      <c r="F865" s="142"/>
    </row>
    <row r="866" ht="14.25" customHeight="1">
      <c r="F866" s="142"/>
    </row>
    <row r="867" ht="14.25" customHeight="1">
      <c r="F867" s="142"/>
    </row>
    <row r="868" ht="14.25" customHeight="1">
      <c r="F868" s="142"/>
    </row>
    <row r="869" ht="14.25" customHeight="1">
      <c r="F869" s="142"/>
    </row>
    <row r="870" ht="14.25" customHeight="1">
      <c r="F870" s="142"/>
    </row>
    <row r="871" ht="14.25" customHeight="1">
      <c r="F871" s="142"/>
    </row>
    <row r="872" ht="14.25" customHeight="1">
      <c r="F872" s="142"/>
    </row>
    <row r="873" ht="14.25" customHeight="1">
      <c r="F873" s="142"/>
    </row>
    <row r="874" ht="14.25" customHeight="1">
      <c r="F874" s="142"/>
    </row>
    <row r="875" ht="14.25" customHeight="1">
      <c r="F875" s="142"/>
    </row>
    <row r="876" ht="14.25" customHeight="1">
      <c r="F876" s="142"/>
    </row>
    <row r="877" ht="14.25" customHeight="1">
      <c r="F877" s="142"/>
    </row>
    <row r="878" ht="14.25" customHeight="1">
      <c r="F878" s="142"/>
    </row>
    <row r="879" ht="14.25" customHeight="1">
      <c r="F879" s="142"/>
    </row>
    <row r="880" ht="14.25" customHeight="1">
      <c r="F880" s="142"/>
    </row>
    <row r="881" ht="14.25" customHeight="1">
      <c r="F881" s="142"/>
    </row>
    <row r="882" ht="14.25" customHeight="1">
      <c r="F882" s="142"/>
    </row>
    <row r="883" ht="14.25" customHeight="1">
      <c r="F883" s="142"/>
    </row>
    <row r="884" ht="14.25" customHeight="1">
      <c r="F884" s="142"/>
    </row>
    <row r="885" ht="14.25" customHeight="1">
      <c r="F885" s="142"/>
    </row>
    <row r="886" ht="14.25" customHeight="1">
      <c r="F886" s="142"/>
    </row>
    <row r="887" ht="14.25" customHeight="1">
      <c r="F887" s="142"/>
    </row>
    <row r="888" ht="14.25" customHeight="1">
      <c r="F888" s="142"/>
    </row>
    <row r="889" ht="14.25" customHeight="1">
      <c r="F889" s="142"/>
    </row>
    <row r="890" ht="14.25" customHeight="1">
      <c r="F890" s="142"/>
    </row>
    <row r="891" ht="14.25" customHeight="1">
      <c r="F891" s="142"/>
    </row>
    <row r="892" ht="14.25" customHeight="1">
      <c r="F892" s="142"/>
    </row>
    <row r="893" ht="14.25" customHeight="1">
      <c r="F893" s="142"/>
    </row>
    <row r="894" ht="14.25" customHeight="1">
      <c r="F894" s="142"/>
    </row>
    <row r="895" ht="14.25" customHeight="1">
      <c r="F895" s="142"/>
    </row>
    <row r="896" ht="14.25" customHeight="1">
      <c r="F896" s="142"/>
    </row>
    <row r="897" ht="14.25" customHeight="1">
      <c r="F897" s="142"/>
    </row>
    <row r="898" ht="14.25" customHeight="1">
      <c r="F898" s="142"/>
    </row>
    <row r="899" ht="14.25" customHeight="1">
      <c r="F899" s="142"/>
    </row>
    <row r="900" ht="14.25" customHeight="1">
      <c r="F900" s="142"/>
    </row>
    <row r="901" ht="14.25" customHeight="1">
      <c r="F901" s="142"/>
    </row>
    <row r="902" ht="14.25" customHeight="1">
      <c r="F902" s="142"/>
    </row>
    <row r="903" ht="14.25" customHeight="1">
      <c r="F903" s="142"/>
    </row>
    <row r="904" ht="14.25" customHeight="1">
      <c r="F904" s="142"/>
    </row>
    <row r="905" ht="14.25" customHeight="1">
      <c r="F905" s="142"/>
    </row>
    <row r="906" ht="14.25" customHeight="1">
      <c r="F906" s="142"/>
    </row>
    <row r="907" ht="14.25" customHeight="1">
      <c r="F907" s="142"/>
    </row>
    <row r="908" ht="14.25" customHeight="1">
      <c r="F908" s="142"/>
    </row>
    <row r="909" ht="14.25" customHeight="1">
      <c r="F909" s="142"/>
    </row>
    <row r="910" ht="14.25" customHeight="1">
      <c r="F910" s="142"/>
    </row>
    <row r="911" ht="14.25" customHeight="1">
      <c r="F911" s="142"/>
    </row>
    <row r="912" ht="14.25" customHeight="1">
      <c r="F912" s="142"/>
    </row>
    <row r="913" ht="14.25" customHeight="1">
      <c r="F913" s="142"/>
    </row>
    <row r="914" ht="14.25" customHeight="1">
      <c r="F914" s="142"/>
    </row>
    <row r="915" ht="14.25" customHeight="1">
      <c r="F915" s="142"/>
    </row>
    <row r="916" ht="14.25" customHeight="1">
      <c r="F916" s="142"/>
    </row>
    <row r="917" ht="14.25" customHeight="1">
      <c r="F917" s="142"/>
    </row>
    <row r="918" ht="14.25" customHeight="1">
      <c r="F918" s="142"/>
    </row>
    <row r="919" ht="14.25" customHeight="1">
      <c r="F919" s="142"/>
    </row>
    <row r="920" ht="14.25" customHeight="1">
      <c r="F920" s="142"/>
    </row>
    <row r="921" ht="14.25" customHeight="1">
      <c r="F921" s="142"/>
    </row>
    <row r="922" ht="14.25" customHeight="1">
      <c r="F922" s="142"/>
    </row>
    <row r="923" ht="14.25" customHeight="1">
      <c r="F923" s="142"/>
    </row>
    <row r="924" ht="14.25" customHeight="1">
      <c r="F924" s="142"/>
    </row>
    <row r="925" ht="14.25" customHeight="1">
      <c r="F925" s="142"/>
    </row>
    <row r="926" ht="14.25" customHeight="1">
      <c r="F926" s="142"/>
    </row>
    <row r="927" ht="14.25" customHeight="1">
      <c r="F927" s="142"/>
    </row>
    <row r="928" ht="14.25" customHeight="1">
      <c r="F928" s="142"/>
    </row>
    <row r="929" ht="14.25" customHeight="1">
      <c r="F929" s="142"/>
    </row>
    <row r="930" ht="14.25" customHeight="1">
      <c r="F930" s="142"/>
    </row>
    <row r="931" ht="14.25" customHeight="1">
      <c r="F931" s="142"/>
    </row>
    <row r="932" ht="14.25" customHeight="1">
      <c r="F932" s="142"/>
    </row>
    <row r="933" ht="14.25" customHeight="1">
      <c r="F933" s="142"/>
    </row>
    <row r="934" ht="14.25" customHeight="1">
      <c r="F934" s="142"/>
    </row>
    <row r="935" ht="14.25" customHeight="1">
      <c r="F935" s="142"/>
    </row>
    <row r="936" ht="14.25" customHeight="1">
      <c r="F936" s="142"/>
    </row>
    <row r="937" ht="14.25" customHeight="1">
      <c r="F937" s="142"/>
    </row>
    <row r="938" ht="14.25" customHeight="1">
      <c r="F938" s="142"/>
    </row>
    <row r="939" ht="14.25" customHeight="1">
      <c r="F939" s="142"/>
    </row>
    <row r="940" ht="14.25" customHeight="1">
      <c r="F940" s="142"/>
    </row>
    <row r="941" ht="14.25" customHeight="1">
      <c r="F941" s="142"/>
    </row>
    <row r="942" ht="14.25" customHeight="1">
      <c r="F942" s="142"/>
    </row>
    <row r="943" ht="14.25" customHeight="1">
      <c r="F943" s="142"/>
    </row>
    <row r="944" ht="14.25" customHeight="1">
      <c r="F944" s="142"/>
    </row>
    <row r="945" ht="14.25" customHeight="1">
      <c r="F945" s="142"/>
    </row>
    <row r="946" ht="14.25" customHeight="1">
      <c r="F946" s="142"/>
    </row>
    <row r="947" ht="14.25" customHeight="1">
      <c r="F947" s="142"/>
    </row>
    <row r="948" ht="14.25" customHeight="1">
      <c r="F948" s="142"/>
    </row>
    <row r="949" ht="14.25" customHeight="1">
      <c r="F949" s="142"/>
    </row>
    <row r="950" ht="14.25" customHeight="1">
      <c r="F950" s="142"/>
    </row>
    <row r="951" ht="14.25" customHeight="1">
      <c r="F951" s="142"/>
    </row>
    <row r="952" ht="14.25" customHeight="1">
      <c r="F952" s="142"/>
    </row>
    <row r="953" ht="14.25" customHeight="1">
      <c r="F953" s="142"/>
    </row>
    <row r="954" ht="14.25" customHeight="1">
      <c r="F954" s="142"/>
    </row>
    <row r="955" ht="14.25" customHeight="1">
      <c r="F955" s="142"/>
    </row>
    <row r="956" ht="14.25" customHeight="1">
      <c r="F956" s="142"/>
    </row>
    <row r="957" ht="14.25" customHeight="1">
      <c r="F957" s="142"/>
    </row>
    <row r="958" ht="14.25" customHeight="1">
      <c r="F958" s="142"/>
    </row>
    <row r="959" ht="14.25" customHeight="1">
      <c r="F959" s="142"/>
    </row>
    <row r="960" ht="14.25" customHeight="1">
      <c r="F960" s="142"/>
    </row>
    <row r="961" ht="14.25" customHeight="1">
      <c r="F961" s="142"/>
    </row>
    <row r="962" ht="14.25" customHeight="1">
      <c r="F962" s="142"/>
    </row>
    <row r="963" ht="14.25" customHeight="1">
      <c r="F963" s="142"/>
    </row>
    <row r="964" ht="14.25" customHeight="1">
      <c r="F964" s="142"/>
    </row>
    <row r="965" ht="14.25" customHeight="1">
      <c r="F965" s="142"/>
    </row>
    <row r="966" ht="14.25" customHeight="1">
      <c r="F966" s="142"/>
    </row>
    <row r="967" ht="14.25" customHeight="1">
      <c r="F967" s="142"/>
    </row>
    <row r="968" ht="14.25" customHeight="1">
      <c r="F968" s="142"/>
    </row>
    <row r="969" ht="14.25" customHeight="1">
      <c r="F969" s="142"/>
    </row>
    <row r="970" ht="14.25" customHeight="1">
      <c r="F970" s="142"/>
    </row>
    <row r="971" ht="14.25" customHeight="1">
      <c r="F971" s="142"/>
    </row>
    <row r="972" ht="14.25" customHeight="1">
      <c r="F972" s="142"/>
    </row>
    <row r="973" ht="14.25" customHeight="1">
      <c r="F973" s="142"/>
    </row>
    <row r="974" ht="14.25" customHeight="1">
      <c r="F974" s="142"/>
    </row>
    <row r="975" ht="14.25" customHeight="1">
      <c r="F975" s="142"/>
    </row>
    <row r="976" ht="14.25" customHeight="1">
      <c r="F976" s="142"/>
    </row>
    <row r="977" ht="14.25" customHeight="1">
      <c r="F977" s="142"/>
    </row>
    <row r="978" ht="14.25" customHeight="1">
      <c r="F978" s="142"/>
    </row>
    <row r="979" ht="14.25" customHeight="1">
      <c r="F979" s="142"/>
    </row>
    <row r="980" ht="14.25" customHeight="1">
      <c r="F980" s="142"/>
    </row>
    <row r="981" ht="14.25" customHeight="1">
      <c r="F981" s="142"/>
    </row>
    <row r="982" ht="14.25" customHeight="1">
      <c r="F982" s="142"/>
    </row>
    <row r="983" ht="14.25" customHeight="1">
      <c r="F983" s="142"/>
    </row>
    <row r="984" ht="14.25" customHeight="1">
      <c r="F984" s="142"/>
    </row>
    <row r="985" ht="14.25" customHeight="1">
      <c r="F985" s="142"/>
    </row>
    <row r="986" ht="14.25" customHeight="1">
      <c r="F986" s="142"/>
    </row>
    <row r="987" ht="14.25" customHeight="1">
      <c r="F987" s="142"/>
    </row>
    <row r="988" ht="14.25" customHeight="1">
      <c r="F988" s="142"/>
    </row>
    <row r="989" ht="14.25" customHeight="1">
      <c r="F989" s="142"/>
    </row>
    <row r="990" ht="14.25" customHeight="1">
      <c r="F990" s="142"/>
    </row>
    <row r="991" ht="14.25" customHeight="1">
      <c r="F991" s="142"/>
    </row>
    <row r="992" ht="14.25" customHeight="1">
      <c r="F992" s="142"/>
    </row>
    <row r="993" ht="14.25" customHeight="1">
      <c r="F993" s="142"/>
    </row>
    <row r="994" ht="14.25" customHeight="1">
      <c r="F994" s="142"/>
    </row>
    <row r="995" ht="14.25" customHeight="1">
      <c r="F995" s="142"/>
    </row>
    <row r="996" ht="14.25" customHeight="1">
      <c r="F996" s="142"/>
    </row>
    <row r="997" ht="14.25" customHeight="1">
      <c r="F997" s="142"/>
    </row>
    <row r="998" ht="14.25" customHeight="1">
      <c r="F998" s="142"/>
    </row>
    <row r="999" ht="14.25" customHeight="1">
      <c r="F999" s="142"/>
    </row>
    <row r="1000" ht="14.25" customHeight="1">
      <c r="F1000" s="142"/>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2.86"/>
    <col customWidth="1" min="3" max="3" width="24.86"/>
    <col customWidth="1" min="4" max="4" width="9.0"/>
    <col customWidth="1" min="5" max="5" width="24.86"/>
    <col customWidth="1" min="6" max="15" width="9.0"/>
    <col customWidth="1" min="16" max="16" width="12.86"/>
    <col customWidth="1" min="17" max="18" width="9.0"/>
    <col customWidth="1" min="19" max="19" width="12.86"/>
    <col customWidth="1" min="20" max="26" width="9.0"/>
  </cols>
  <sheetData>
    <row r="1" ht="14.25" customHeight="1">
      <c r="A1" s="24" t="s">
        <v>226</v>
      </c>
      <c r="B1" s="24" t="s">
        <v>221</v>
      </c>
      <c r="C1" s="24" t="s">
        <v>227</v>
      </c>
      <c r="D1" s="24" t="s">
        <v>111</v>
      </c>
      <c r="E1" s="24" t="s">
        <v>228</v>
      </c>
      <c r="F1" s="24" t="s">
        <v>223</v>
      </c>
      <c r="O1" s="24" t="s">
        <v>226</v>
      </c>
      <c r="P1" s="24" t="s">
        <v>221</v>
      </c>
      <c r="Q1" s="24" t="s">
        <v>108</v>
      </c>
      <c r="R1" s="24" t="s">
        <v>229</v>
      </c>
    </row>
    <row r="2" ht="14.25" customHeight="1">
      <c r="A2" s="24">
        <v>0.0</v>
      </c>
      <c r="B2" s="24">
        <f>('属性输入'!$N$19+'属性输入'!$O$19*('属性输入'!$B$25-'属性输入'!$E$11+'属性输入'!$F$25-'属性输入'!$R$25+'属性输入'!$N$25-'属性输入'!$K$11+'属性输入'!$S$27))*(1-'属性输入'!$P$25)*(1+'属性输入'!$K$27-'属性输入'!$O$11)+(1+'属性输入'!$M$27-'属性输入'!$O$11)*'属性输入'!$O$19*(1-'属性输入'!$S$25)*('属性输入'!$E$25+A2)</f>
        <v>16813.37732</v>
      </c>
      <c r="C2" s="98">
        <f t="shared" ref="C2:C50" si="1">(B2-$B$2)/$B$2</f>
        <v>0</v>
      </c>
      <c r="D2" s="24">
        <f>'属性输入'!$E$25</f>
        <v>6200</v>
      </c>
      <c r="E2" s="15">
        <f t="shared" ref="E2:E49" si="2">(B3-B2)/B2</f>
        <v>0.001799332862</v>
      </c>
      <c r="F2" s="24">
        <v>0.1</v>
      </c>
      <c r="O2" s="24">
        <v>0.0</v>
      </c>
      <c r="P2" s="24">
        <f>('属性输入'!$N$19+'属性输入'!$O$19*('属性输入'!$B$25-'属性输入'!$E$11+'属性输入'!$F$25-'属性输入'!$R$25+'属性输入'!$N$25-'属性输入'!$K$11+'属性输入'!$S$27))*(1-'属性输入'!$P$25)*(1+'属性输入'!$K$27-'属性输入'!$O$11)+(1+'属性输入'!$M$27-'属性输入'!$O$11)*'属性输入'!$O$19*(1-'属性输入'!$S$25)*('属性输入'!$E$25+O2)</f>
        <v>16813.37732</v>
      </c>
      <c r="Q2" s="24">
        <f>'属性输入'!$E$25</f>
        <v>6200</v>
      </c>
      <c r="R2" s="98">
        <f>(P3-P2)/P2</f>
        <v>0.003598665724</v>
      </c>
      <c r="S2" s="24" t="s">
        <v>230</v>
      </c>
    </row>
    <row r="3" ht="14.25" customHeight="1">
      <c r="A3" s="24">
        <v>50.0</v>
      </c>
      <c r="B3" s="24">
        <f>('属性输入'!$N$19+'属性输入'!$O$19*('属性输入'!$B$25-'属性输入'!$E$11+'属性输入'!$F$25-'属性输入'!$R$25+'属性输入'!$N$25-'属性输入'!$K$11+'属性输入'!$S$27))*(1-'属性输入'!$P$25)*(1+'属性输入'!$K$27-'属性输入'!$O$11)+(1+'属性输入'!$M$27-'属性输入'!$O$11)*'属性输入'!$O$19*(1-'属性输入'!$S$25)*('属性输入'!$E$25+A3)</f>
        <v>16843.63018</v>
      </c>
      <c r="C3" s="98">
        <f t="shared" si="1"/>
        <v>0.001799332862</v>
      </c>
      <c r="D3" s="24">
        <f t="shared" ref="D3:D50" si="3">$D$2+A3</f>
        <v>6250</v>
      </c>
      <c r="E3" s="15">
        <f t="shared" si="2"/>
        <v>0.001796101078</v>
      </c>
      <c r="F3" s="24">
        <v>0.1</v>
      </c>
      <c r="O3" s="24">
        <v>100.0</v>
      </c>
      <c r="P3" s="24">
        <f>('属性输入'!$N$19+'属性输入'!$O$19*('属性输入'!$B$25-'属性输入'!$E$11+'属性输入'!$F$25-'属性输入'!$R$25+'属性输入'!$N$25-'属性输入'!$K$11+'属性输入'!$S$27))*(1-'属性输入'!$P$25)*(1+'属性输入'!$K$27-'属性输入'!$O$11)+(1+'属性输入'!$M$27-'属性输入'!$O$11)*'属性输入'!$O$19*(1-'属性输入'!$S$25)*('属性输入'!$E$25+O3)</f>
        <v>16873.88304</v>
      </c>
      <c r="Q3" s="24">
        <f>$D$2+O3</f>
        <v>6300</v>
      </c>
      <c r="R3" s="15"/>
    </row>
    <row r="4" ht="14.25" customHeight="1">
      <c r="A4" s="24">
        <v>100.0</v>
      </c>
      <c r="B4" s="24">
        <f>('属性输入'!$N$19+'属性输入'!$O$19*('属性输入'!$B$25-'属性输入'!$E$11+'属性输入'!$F$25-'属性输入'!$R$25+'属性输入'!$N$25-'属性输入'!$K$11+'属性输入'!$S$27))*(1-'属性输入'!$P$25)*(1+'属性输入'!$K$27-'属性输入'!$O$11)+(1+'属性输入'!$M$27-'属性输入'!$O$11)*'属性输入'!$O$19*(1-'属性输入'!$S$25)*('属性输入'!$E$25+A4)</f>
        <v>16873.88304</v>
      </c>
      <c r="C4" s="98">
        <f t="shared" si="1"/>
        <v>0.003598665724</v>
      </c>
      <c r="D4" s="24">
        <f t="shared" si="3"/>
        <v>6300</v>
      </c>
      <c r="E4" s="15">
        <f t="shared" si="2"/>
        <v>0.001792880883</v>
      </c>
      <c r="F4" s="24">
        <v>0.1</v>
      </c>
      <c r="O4" s="24">
        <v>159.0</v>
      </c>
      <c r="P4" s="24">
        <f>('属性输入'!$N$19+'属性输入'!$O$19*('属性输入'!$B$25-'属性输入'!$E$11+'属性输入'!$F$25-'属性输入'!$R$25+'属性输入'!$N$25-'属性输入'!$K$11+'属性输入'!$S$27))*(1-'属性输入'!$P$25)*(1+'属性输入'!$K$27-'属性输入'!$O$11)+(1+'属性输入'!$M$27-'属性输入'!$O$11)*'属性输入'!$O$19*(1-'属性输入'!$S$25)*('属性输入'!$E$25+O4)</f>
        <v>16909.58142</v>
      </c>
      <c r="Q4" s="24">
        <f>Q2+O4</f>
        <v>6359</v>
      </c>
      <c r="S4" s="24">
        <f>(P4-P2)/P2</f>
        <v>0.005721878502</v>
      </c>
    </row>
    <row r="5" ht="14.25" customHeight="1">
      <c r="A5" s="24">
        <v>150.0</v>
      </c>
      <c r="B5" s="24">
        <f>('属性输入'!$N$19+'属性输入'!$O$19*('属性输入'!$B$25-'属性输入'!$E$11+'属性输入'!$F$25-'属性输入'!$R$25+'属性输入'!$N$25-'属性输入'!$K$11+'属性输入'!$S$27))*(1-'属性输入'!$P$25)*(1+'属性输入'!$K$27-'属性输入'!$O$11)+(1+'属性输入'!$M$27-'属性输入'!$O$11)*'属性输入'!$O$19*(1-'属性输入'!$S$25)*('属性输入'!$E$25+A5)</f>
        <v>16904.1359</v>
      </c>
      <c r="C5" s="98">
        <f t="shared" si="1"/>
        <v>0.005397998586</v>
      </c>
      <c r="D5" s="24">
        <f t="shared" si="3"/>
        <v>6350</v>
      </c>
      <c r="E5" s="15">
        <f t="shared" si="2"/>
        <v>0.001789672214</v>
      </c>
      <c r="F5" s="24">
        <v>0.1</v>
      </c>
    </row>
    <row r="6" ht="14.25" customHeight="1">
      <c r="A6" s="24">
        <v>200.0</v>
      </c>
      <c r="B6" s="24">
        <f>('属性输入'!$N$19+'属性输入'!$O$19*('属性输入'!$B$25-'属性输入'!$E$11+'属性输入'!$F$25-'属性输入'!$R$25+'属性输入'!$N$25-'属性输入'!$K$11+'属性输入'!$S$27))*(1-'属性输入'!$P$25)*(1+'属性输入'!$K$27-'属性输入'!$O$11)+(1+'属性输入'!$M$27-'属性输入'!$O$11)*'属性输入'!$O$19*(1-'属性输入'!$S$25)*('属性输入'!$E$25+A6)</f>
        <v>16934.38877</v>
      </c>
      <c r="C6" s="98">
        <f t="shared" si="1"/>
        <v>0.007197331448</v>
      </c>
      <c r="D6" s="24">
        <f t="shared" si="3"/>
        <v>6400</v>
      </c>
      <c r="E6" s="15">
        <f t="shared" si="2"/>
        <v>0.001786475009</v>
      </c>
      <c r="F6" s="24">
        <v>0.1</v>
      </c>
    </row>
    <row r="7" ht="14.25" customHeight="1">
      <c r="A7" s="24">
        <v>250.0</v>
      </c>
      <c r="B7" s="24">
        <f>('属性输入'!$N$19+'属性输入'!$O$19*('属性输入'!$B$25-'属性输入'!$E$11+'属性输入'!$F$25-'属性输入'!$R$25+'属性输入'!$N$25-'属性输入'!$K$11+'属性输入'!$S$27))*(1-'属性输入'!$P$25)*(1+'属性输入'!$K$27-'属性输入'!$O$11)+(1+'属性输入'!$M$27-'属性输入'!$O$11)*'属性输入'!$O$19*(1-'属性输入'!$S$25)*('属性输入'!$E$25+A7)</f>
        <v>16964.64163</v>
      </c>
      <c r="C7" s="98">
        <f t="shared" si="1"/>
        <v>0.008996664311</v>
      </c>
      <c r="D7" s="24">
        <f t="shared" si="3"/>
        <v>6450</v>
      </c>
      <c r="E7" s="15">
        <f t="shared" si="2"/>
        <v>0.001783289208</v>
      </c>
      <c r="F7" s="24">
        <v>0.1</v>
      </c>
    </row>
    <row r="8" ht="14.25" customHeight="1">
      <c r="A8" s="24">
        <v>300.0</v>
      </c>
      <c r="B8" s="24">
        <f>('属性输入'!$N$19+'属性输入'!$O$19*('属性输入'!$B$25-'属性输入'!$E$11+'属性输入'!$F$25-'属性输入'!$R$25+'属性输入'!$N$25-'属性输入'!$K$11+'属性输入'!$S$27))*(1-'属性输入'!$P$25)*(1+'属性输入'!$K$27-'属性输入'!$O$11)+(1+'属性输入'!$M$27-'属性输入'!$O$11)*'属性输入'!$O$19*(1-'属性输入'!$S$25)*('属性输入'!$E$25+A8)</f>
        <v>16994.89449</v>
      </c>
      <c r="C8" s="98">
        <f t="shared" si="1"/>
        <v>0.01079599717</v>
      </c>
      <c r="D8" s="24">
        <f t="shared" si="3"/>
        <v>6500</v>
      </c>
      <c r="E8" s="15">
        <f t="shared" si="2"/>
        <v>0.001780114748</v>
      </c>
      <c r="F8" s="24">
        <v>0.1</v>
      </c>
    </row>
    <row r="9" ht="14.25" customHeight="1">
      <c r="A9" s="24">
        <v>350.0</v>
      </c>
      <c r="B9" s="24">
        <f>('属性输入'!$N$19+'属性输入'!$O$19*('属性输入'!$B$25-'属性输入'!$E$11+'属性输入'!$F$25-'属性输入'!$R$25+'属性输入'!$N$25-'属性输入'!$K$11+'属性输入'!$S$27))*(1-'属性输入'!$P$25)*(1+'属性输入'!$K$27-'属性输入'!$O$11)+(1+'属性输入'!$M$27-'属性输入'!$O$11)*'属性输入'!$O$19*(1-'属性输入'!$S$25)*('属性输入'!$E$25+A9)</f>
        <v>17025.14735</v>
      </c>
      <c r="C9" s="98">
        <f t="shared" si="1"/>
        <v>0.01259533003</v>
      </c>
      <c r="D9" s="24">
        <f t="shared" si="3"/>
        <v>6550</v>
      </c>
      <c r="E9" s="15">
        <f t="shared" si="2"/>
        <v>0.001776951571</v>
      </c>
      <c r="F9" s="24">
        <v>0.1</v>
      </c>
    </row>
    <row r="10" ht="14.25" customHeight="1">
      <c r="A10" s="24">
        <v>400.0</v>
      </c>
      <c r="B10" s="24">
        <f>('属性输入'!$N$19+'属性输入'!$O$19*('属性输入'!$B$25-'属性输入'!$E$11+'属性输入'!$F$25-'属性输入'!$R$25+'属性输入'!$N$25-'属性输入'!$K$11+'属性输入'!$S$27))*(1-'属性输入'!$P$25)*(1+'属性输入'!$K$27-'属性输入'!$O$11)+(1+'属性输入'!$M$27-'属性输入'!$O$11)*'属性输入'!$O$19*(1-'属性输入'!$S$25)*('属性输入'!$E$25+A10)</f>
        <v>17055.40022</v>
      </c>
      <c r="C10" s="98">
        <f t="shared" si="1"/>
        <v>0.0143946629</v>
      </c>
      <c r="D10" s="24">
        <f t="shared" si="3"/>
        <v>6600</v>
      </c>
      <c r="E10" s="15">
        <f t="shared" si="2"/>
        <v>0.001773799615</v>
      </c>
      <c r="F10" s="24">
        <v>0.1</v>
      </c>
    </row>
    <row r="11" ht="14.25" customHeight="1">
      <c r="A11" s="24">
        <v>450.0</v>
      </c>
      <c r="B11" s="24">
        <f>('属性输入'!$N$19+'属性输入'!$O$19*('属性输入'!$B$25-'属性输入'!$E$11+'属性输入'!$F$25-'属性输入'!$R$25+'属性输入'!$N$25-'属性输入'!$K$11+'属性输入'!$S$27))*(1-'属性输入'!$P$25)*(1+'属性输入'!$K$27-'属性输入'!$O$11)+(1+'属性输入'!$M$27-'属性输入'!$O$11)*'属性输入'!$O$19*(1-'属性输入'!$S$25)*('属性输入'!$E$25+A11)</f>
        <v>17085.65308</v>
      </c>
      <c r="C11" s="98">
        <f t="shared" si="1"/>
        <v>0.01619399576</v>
      </c>
      <c r="D11" s="24">
        <f t="shared" si="3"/>
        <v>6650</v>
      </c>
      <c r="E11" s="15">
        <f t="shared" si="2"/>
        <v>0.001770658821</v>
      </c>
      <c r="F11" s="24">
        <v>0.1</v>
      </c>
    </row>
    <row r="12" ht="14.25" customHeight="1">
      <c r="A12" s="24">
        <v>500.0</v>
      </c>
      <c r="B12" s="24">
        <f>('属性输入'!$N$19+'属性输入'!$O$19*('属性输入'!$B$25-'属性输入'!$E$11+'属性输入'!$F$25-'属性输入'!$R$25+'属性输入'!$N$25-'属性输入'!$K$11+'属性输入'!$S$27))*(1-'属性输入'!$P$25)*(1+'属性输入'!$K$27-'属性输入'!$O$11)+(1+'属性输入'!$M$27-'属性输入'!$O$11)*'属性输入'!$O$19*(1-'属性输入'!$S$25)*('属性输入'!$E$25+A12)</f>
        <v>17115.90594</v>
      </c>
      <c r="C12" s="98">
        <f t="shared" si="1"/>
        <v>0.01799332862</v>
      </c>
      <c r="D12" s="24">
        <f t="shared" si="3"/>
        <v>6700</v>
      </c>
      <c r="E12" s="15">
        <f t="shared" si="2"/>
        <v>0.00176752913</v>
      </c>
      <c r="F12" s="24">
        <v>0.1</v>
      </c>
    </row>
    <row r="13" ht="14.25" customHeight="1">
      <c r="A13" s="24">
        <v>550.0</v>
      </c>
      <c r="B13" s="24">
        <f>('属性输入'!$N$19+'属性输入'!$O$19*('属性输入'!$B$25-'属性输入'!$E$11+'属性输入'!$F$25-'属性输入'!$R$25+'属性输入'!$N$25-'属性输入'!$K$11+'属性输入'!$S$27))*(1-'属性输入'!$P$25)*(1+'属性输入'!$K$27-'属性输入'!$O$11)+(1+'属性输入'!$M$27-'属性输入'!$O$11)*'属性输入'!$O$19*(1-'属性输入'!$S$25)*('属性输入'!$E$25+A13)</f>
        <v>17146.1588</v>
      </c>
      <c r="C13" s="98">
        <f t="shared" si="1"/>
        <v>0.01979266148</v>
      </c>
      <c r="D13" s="24">
        <f t="shared" si="3"/>
        <v>6750</v>
      </c>
      <c r="E13" s="15">
        <f t="shared" si="2"/>
        <v>0.001764410483</v>
      </c>
      <c r="F13" s="24">
        <v>0.1</v>
      </c>
    </row>
    <row r="14" ht="14.25" customHeight="1">
      <c r="A14" s="24">
        <v>600.0</v>
      </c>
      <c r="B14" s="24">
        <f>('属性输入'!$N$19+'属性输入'!$O$19*('属性输入'!$B$25-'属性输入'!$E$11+'属性输入'!$F$25-'属性输入'!$R$25+'属性输入'!$N$25-'属性输入'!$K$11+'属性输入'!$S$27))*(1-'属性输入'!$P$25)*(1+'属性输入'!$K$27-'属性输入'!$O$11)+(1+'属性输入'!$M$27-'属性输入'!$O$11)*'属性输入'!$O$19*(1-'属性输入'!$S$25)*('属性输入'!$E$25+A14)</f>
        <v>17176.41166</v>
      </c>
      <c r="C14" s="98">
        <f t="shared" si="1"/>
        <v>0.02159199435</v>
      </c>
      <c r="D14" s="24">
        <f t="shared" si="3"/>
        <v>6800</v>
      </c>
      <c r="E14" s="15">
        <f t="shared" si="2"/>
        <v>0.001761302822</v>
      </c>
      <c r="F14" s="24">
        <v>0.1</v>
      </c>
    </row>
    <row r="15" ht="14.25" customHeight="1">
      <c r="A15" s="24">
        <v>650.0</v>
      </c>
      <c r="B15" s="24">
        <f>('属性输入'!$N$19+'属性输入'!$O$19*('属性输入'!$B$25-'属性输入'!$E$11+'属性输入'!$F$25-'属性输入'!$R$25+'属性输入'!$N$25-'属性输入'!$K$11+'属性输入'!$S$27))*(1-'属性输入'!$P$25)*(1+'属性输入'!$K$27-'属性输入'!$O$11)+(1+'属性输入'!$M$27-'属性输入'!$O$11)*'属性输入'!$O$19*(1-'属性输入'!$S$25)*('属性输入'!$E$25+A15)</f>
        <v>17206.66453</v>
      </c>
      <c r="C15" s="98">
        <f t="shared" si="1"/>
        <v>0.02339132721</v>
      </c>
      <c r="D15" s="24">
        <f t="shared" si="3"/>
        <v>6850</v>
      </c>
      <c r="E15" s="15">
        <f t="shared" si="2"/>
        <v>0.001758206088</v>
      </c>
      <c r="F15" s="24">
        <v>0.1</v>
      </c>
    </row>
    <row r="16" ht="14.25" customHeight="1">
      <c r="A16" s="24">
        <v>700.0</v>
      </c>
      <c r="B16" s="24">
        <f>('属性输入'!$N$19+'属性输入'!$O$19*('属性输入'!$B$25-'属性输入'!$E$11+'属性输入'!$F$25-'属性输入'!$R$25+'属性输入'!$N$25-'属性输入'!$K$11+'属性输入'!$S$27))*(1-'属性输入'!$P$25)*(1+'属性输入'!$K$27-'属性输入'!$O$11)+(1+'属性输入'!$M$27-'属性输入'!$O$11)*'属性输入'!$O$19*(1-'属性输入'!$S$25)*('属性输入'!$E$25+A16)</f>
        <v>17236.91739</v>
      </c>
      <c r="C16" s="98">
        <f t="shared" si="1"/>
        <v>0.02519066007</v>
      </c>
      <c r="D16" s="24">
        <f t="shared" si="3"/>
        <v>6900</v>
      </c>
      <c r="E16" s="15">
        <f t="shared" si="2"/>
        <v>0.001755120225</v>
      </c>
      <c r="F16" s="24">
        <v>0.1</v>
      </c>
      <c r="T16" s="65"/>
    </row>
    <row r="17" ht="14.25" customHeight="1">
      <c r="A17" s="24">
        <v>750.0</v>
      </c>
      <c r="B17" s="24">
        <f>('属性输入'!$N$19+'属性输入'!$O$19*('属性输入'!$B$25-'属性输入'!$E$11+'属性输入'!$F$25-'属性输入'!$R$25+'属性输入'!$N$25-'属性输入'!$K$11+'属性输入'!$S$27))*(1-'属性输入'!$P$25)*(1+'属性输入'!$K$27-'属性输入'!$O$11)+(1+'属性输入'!$M$27-'属性输入'!$O$11)*'属性输入'!$O$19*(1-'属性输入'!$S$25)*('属性输入'!$E$25+A17)</f>
        <v>17267.17025</v>
      </c>
      <c r="C17" s="98">
        <f t="shared" si="1"/>
        <v>0.02698999293</v>
      </c>
      <c r="D17" s="24">
        <f t="shared" si="3"/>
        <v>6950</v>
      </c>
      <c r="E17" s="15">
        <f t="shared" si="2"/>
        <v>0.001752045175</v>
      </c>
      <c r="F17" s="24">
        <v>0.1</v>
      </c>
    </row>
    <row r="18" ht="14.25" customHeight="1">
      <c r="A18" s="24">
        <v>800.0</v>
      </c>
      <c r="B18" s="24">
        <f>('属性输入'!$N$19+'属性输入'!$O$19*('属性输入'!$B$25-'属性输入'!$E$11+'属性输入'!$F$25-'属性输入'!$R$25+'属性输入'!$N$25-'属性输入'!$K$11+'属性输入'!$S$27))*(1-'属性输入'!$P$25)*(1+'属性输入'!$K$27-'属性输入'!$O$11)+(1+'属性输入'!$M$27-'属性输入'!$O$11)*'属性输入'!$O$19*(1-'属性输入'!$S$25)*('属性输入'!$E$25+A18)</f>
        <v>17297.42311</v>
      </c>
      <c r="C18" s="98">
        <f t="shared" si="1"/>
        <v>0.02878932579</v>
      </c>
      <c r="D18" s="24">
        <f t="shared" si="3"/>
        <v>7000</v>
      </c>
      <c r="E18" s="15">
        <f t="shared" si="2"/>
        <v>0.001748980882</v>
      </c>
      <c r="F18" s="24">
        <v>0.1</v>
      </c>
    </row>
    <row r="19" ht="14.25" customHeight="1">
      <c r="A19" s="24">
        <v>850.0</v>
      </c>
      <c r="B19" s="24">
        <f>('属性输入'!$N$19+'属性输入'!$O$19*('属性输入'!$B$25-'属性输入'!$E$11+'属性输入'!$F$25-'属性输入'!$R$25+'属性输入'!$N$25-'属性输入'!$K$11+'属性输入'!$S$27))*(1-'属性输入'!$P$25)*(1+'属性输入'!$K$27-'属性输入'!$O$11)+(1+'属性输入'!$M$27-'属性输入'!$O$11)*'属性输入'!$O$19*(1-'属性输入'!$S$25)*('属性输入'!$E$25+A19)</f>
        <v>17327.67598</v>
      </c>
      <c r="C19" s="98">
        <f t="shared" si="1"/>
        <v>0.03058865866</v>
      </c>
      <c r="D19" s="24">
        <f t="shared" si="3"/>
        <v>7050</v>
      </c>
      <c r="E19" s="15">
        <f t="shared" si="2"/>
        <v>0.001745927288</v>
      </c>
      <c r="F19" s="24">
        <v>0.1</v>
      </c>
    </row>
    <row r="20" ht="14.25" customHeight="1">
      <c r="A20" s="24">
        <v>900.0</v>
      </c>
      <c r="B20" s="24">
        <f>('属性输入'!$N$19+'属性输入'!$O$19*('属性输入'!$B$25-'属性输入'!$E$11+'属性输入'!$F$25-'属性输入'!$R$25+'属性输入'!$N$25-'属性输入'!$K$11+'属性输入'!$S$27))*(1-'属性输入'!$P$25)*(1+'属性输入'!$K$27-'属性输入'!$O$11)+(1+'属性输入'!$M$27-'属性输入'!$O$11)*'属性输入'!$O$19*(1-'属性输入'!$S$25)*('属性输入'!$E$25+A20)</f>
        <v>17357.92884</v>
      </c>
      <c r="C20" s="98">
        <f t="shared" si="1"/>
        <v>0.03238799152</v>
      </c>
      <c r="D20" s="24">
        <f t="shared" si="3"/>
        <v>7100</v>
      </c>
      <c r="E20" s="15">
        <f t="shared" si="2"/>
        <v>0.001742884339</v>
      </c>
      <c r="F20" s="24">
        <v>0.1</v>
      </c>
    </row>
    <row r="21" ht="14.25" customHeight="1">
      <c r="A21" s="24">
        <v>950.0</v>
      </c>
      <c r="B21" s="24">
        <f>('属性输入'!$N$19+'属性输入'!$O$19*('属性输入'!$B$25-'属性输入'!$E$11+'属性输入'!$F$25-'属性输入'!$R$25+'属性输入'!$N$25-'属性输入'!$K$11+'属性输入'!$S$27))*(1-'属性输入'!$P$25)*(1+'属性输入'!$K$27-'属性输入'!$O$11)+(1+'属性输入'!$M$27-'属性输入'!$O$11)*'属性输入'!$O$19*(1-'属性输入'!$S$25)*('属性输入'!$E$25+A21)</f>
        <v>17388.1817</v>
      </c>
      <c r="C21" s="98">
        <f t="shared" si="1"/>
        <v>0.03418732438</v>
      </c>
      <c r="D21" s="24">
        <f t="shared" si="3"/>
        <v>7150</v>
      </c>
      <c r="E21" s="15">
        <f t="shared" si="2"/>
        <v>0.001739851978</v>
      </c>
      <c r="F21" s="24">
        <v>0.1</v>
      </c>
    </row>
    <row r="22" ht="14.25" customHeight="1">
      <c r="A22" s="24">
        <v>1000.0</v>
      </c>
      <c r="B22" s="24">
        <f>('属性输入'!$N$19+'属性输入'!$O$19*('属性输入'!$B$25-'属性输入'!$E$11+'属性输入'!$F$25-'属性输入'!$R$25+'属性输入'!$N$25-'属性输入'!$K$11+'属性输入'!$S$27))*(1-'属性输入'!$P$25)*(1+'属性输入'!$K$27-'属性输入'!$O$11)+(1+'属性输入'!$M$27-'属性输入'!$O$11)*'属性输入'!$O$19*(1-'属性输入'!$S$25)*('属性输入'!$E$25+A22)</f>
        <v>17418.43456</v>
      </c>
      <c r="C22" s="98">
        <f t="shared" si="1"/>
        <v>0.03598665724</v>
      </c>
      <c r="D22" s="24">
        <f t="shared" si="3"/>
        <v>7200</v>
      </c>
      <c r="E22" s="15">
        <f t="shared" si="2"/>
        <v>0.001736830151</v>
      </c>
      <c r="F22" s="24">
        <v>0.1</v>
      </c>
    </row>
    <row r="23" ht="14.25" customHeight="1">
      <c r="A23" s="24">
        <v>1050.0</v>
      </c>
      <c r="B23" s="24">
        <f>('属性输入'!$N$19+'属性输入'!$O$19*('属性输入'!$B$25-'属性输入'!$E$11+'属性输入'!$F$25-'属性输入'!$R$25+'属性输入'!$N$25-'属性输入'!$K$11+'属性输入'!$S$27))*(1-'属性输入'!$P$25)*(1+'属性输入'!$K$27-'属性输入'!$O$11)+(1+'属性输入'!$M$27-'属性输入'!$O$11)*'属性输入'!$O$19*(1-'属性输入'!$S$25)*('属性输入'!$E$25+A23)</f>
        <v>17448.68743</v>
      </c>
      <c r="C23" s="98">
        <f t="shared" si="1"/>
        <v>0.0377859901</v>
      </c>
      <c r="D23" s="24">
        <f t="shared" si="3"/>
        <v>7250</v>
      </c>
      <c r="E23" s="15">
        <f t="shared" si="2"/>
        <v>0.001733818802</v>
      </c>
      <c r="F23" s="24">
        <v>0.1</v>
      </c>
    </row>
    <row r="24" ht="14.25" customHeight="1">
      <c r="A24" s="24">
        <v>1100.0</v>
      </c>
      <c r="B24" s="24">
        <f>('属性输入'!$N$19+'属性输入'!$O$19*('属性输入'!$B$25-'属性输入'!$E$11+'属性输入'!$F$25-'属性输入'!$R$25+'属性输入'!$N$25-'属性输入'!$K$11+'属性输入'!$S$27))*(1-'属性输入'!$P$25)*(1+'属性输入'!$K$27-'属性输入'!$O$11)+(1+'属性输入'!$M$27-'属性输入'!$O$11)*'属性输入'!$O$19*(1-'属性输入'!$S$25)*('属性输入'!$E$25+A24)</f>
        <v>17478.94029</v>
      </c>
      <c r="C24" s="98">
        <f t="shared" si="1"/>
        <v>0.03958532297</v>
      </c>
      <c r="D24" s="24">
        <f t="shared" si="3"/>
        <v>7300</v>
      </c>
      <c r="E24" s="15">
        <f t="shared" si="2"/>
        <v>0.001730817877</v>
      </c>
      <c r="F24" s="24">
        <v>0.1</v>
      </c>
    </row>
    <row r="25" ht="14.25" customHeight="1">
      <c r="A25" s="24">
        <v>1150.0</v>
      </c>
      <c r="B25" s="24">
        <f>('属性输入'!$N$19+'属性输入'!$O$19*('属性输入'!$B$25-'属性输入'!$E$11+'属性输入'!$F$25-'属性输入'!$R$25+'属性输入'!$N$25-'属性输入'!$K$11+'属性输入'!$S$27))*(1-'属性输入'!$P$25)*(1+'属性输入'!$K$27-'属性输入'!$O$11)+(1+'属性输入'!$M$27-'属性输入'!$O$11)*'属性输入'!$O$19*(1-'属性输入'!$S$25)*('属性输入'!$E$25+A25)</f>
        <v>17509.19315</v>
      </c>
      <c r="C25" s="98">
        <f t="shared" si="1"/>
        <v>0.04138465583</v>
      </c>
      <c r="D25" s="24">
        <f t="shared" si="3"/>
        <v>7350</v>
      </c>
      <c r="E25" s="15">
        <f t="shared" si="2"/>
        <v>0.001727827323</v>
      </c>
      <c r="F25" s="24">
        <v>0.1</v>
      </c>
    </row>
    <row r="26" ht="14.25" customHeight="1">
      <c r="A26" s="24">
        <v>1200.0</v>
      </c>
      <c r="B26" s="24">
        <f>('属性输入'!$N$19+'属性输入'!$O$19*('属性输入'!$B$25-'属性输入'!$E$11+'属性输入'!$F$25-'属性输入'!$R$25+'属性输入'!$N$25-'属性输入'!$K$11+'属性输入'!$S$27))*(1-'属性输入'!$P$25)*(1+'属性输入'!$K$27-'属性输入'!$O$11)+(1+'属性输入'!$M$27-'属性输入'!$O$11)*'属性输入'!$O$19*(1-'属性输入'!$S$25)*('属性输入'!$E$25+A26)</f>
        <v>17539.44601</v>
      </c>
      <c r="C26" s="98">
        <f t="shared" si="1"/>
        <v>0.04318398869</v>
      </c>
      <c r="D26" s="24">
        <f t="shared" si="3"/>
        <v>7400</v>
      </c>
      <c r="E26" s="15">
        <f t="shared" si="2"/>
        <v>0.001724847085</v>
      </c>
      <c r="F26" s="24">
        <v>0.1</v>
      </c>
    </row>
    <row r="27" ht="14.25" customHeight="1">
      <c r="A27" s="24">
        <v>1250.0</v>
      </c>
      <c r="B27" s="24">
        <f>('属性输入'!$N$19+'属性输入'!$O$19*('属性输入'!$B$25-'属性输入'!$E$11+'属性输入'!$F$25-'属性输入'!$R$25+'属性输入'!$N$25-'属性输入'!$K$11+'属性输入'!$S$27))*(1-'属性输入'!$P$25)*(1+'属性输入'!$K$27-'属性输入'!$O$11)+(1+'属性输入'!$M$27-'属性输入'!$O$11)*'属性输入'!$O$19*(1-'属性输入'!$S$25)*('属性输入'!$E$25+A27)</f>
        <v>17569.69887</v>
      </c>
      <c r="C27" s="98">
        <f t="shared" si="1"/>
        <v>0.04498332155</v>
      </c>
      <c r="D27" s="24">
        <f t="shared" si="3"/>
        <v>7450</v>
      </c>
      <c r="E27" s="15">
        <f t="shared" si="2"/>
        <v>0.00172187711</v>
      </c>
      <c r="F27" s="24">
        <v>0.1</v>
      </c>
    </row>
    <row r="28" ht="14.25" customHeight="1">
      <c r="A28" s="24">
        <v>1300.0</v>
      </c>
      <c r="B28" s="24">
        <f>('属性输入'!$N$19+'属性输入'!$O$19*('属性输入'!$B$25-'属性输入'!$E$11+'属性输入'!$F$25-'属性输入'!$R$25+'属性输入'!$N$25-'属性输入'!$K$11+'属性输入'!$S$27))*(1-'属性输入'!$P$25)*(1+'属性输入'!$K$27-'属性输入'!$O$11)+(1+'属性输入'!$M$27-'属性输入'!$O$11)*'属性输入'!$O$19*(1-'属性输入'!$S$25)*('属性输入'!$E$25+A28)</f>
        <v>17599.95174</v>
      </c>
      <c r="C28" s="98">
        <f t="shared" si="1"/>
        <v>0.04678265441</v>
      </c>
      <c r="D28" s="24">
        <f t="shared" si="3"/>
        <v>7500</v>
      </c>
      <c r="E28" s="15">
        <f t="shared" si="2"/>
        <v>0.001718917346</v>
      </c>
      <c r="F28" s="24">
        <v>0.1</v>
      </c>
    </row>
    <row r="29" ht="14.25" customHeight="1">
      <c r="A29" s="24">
        <v>1350.0</v>
      </c>
      <c r="B29" s="24">
        <f>('属性输入'!$N$19+'属性输入'!$O$19*('属性输入'!$B$25-'属性输入'!$E$11+'属性输入'!$F$25-'属性输入'!$R$25+'属性输入'!$N$25-'属性输入'!$K$11+'属性输入'!$S$27))*(1-'属性输入'!$P$25)*(1+'属性输入'!$K$27-'属性输入'!$O$11)+(1+'属性输入'!$M$27-'属性输入'!$O$11)*'属性输入'!$O$19*(1-'属性输入'!$S$25)*('属性输入'!$E$25+A29)</f>
        <v>17630.2046</v>
      </c>
      <c r="C29" s="98">
        <f t="shared" si="1"/>
        <v>0.04858198728</v>
      </c>
      <c r="D29" s="24">
        <f t="shared" si="3"/>
        <v>7550</v>
      </c>
      <c r="E29" s="15">
        <f t="shared" si="2"/>
        <v>0.001715967739</v>
      </c>
      <c r="F29" s="24">
        <v>0.1</v>
      </c>
    </row>
    <row r="30" ht="14.25" customHeight="1">
      <c r="A30" s="24">
        <v>1400.0</v>
      </c>
      <c r="B30" s="24">
        <f>('属性输入'!$N$19+'属性输入'!$O$19*('属性输入'!$B$25-'属性输入'!$E$11+'属性输入'!$F$25-'属性输入'!$R$25+'属性输入'!$N$25-'属性输入'!$K$11+'属性输入'!$S$27))*(1-'属性输入'!$P$25)*(1+'属性输入'!$K$27-'属性输入'!$O$11)+(1+'属性输入'!$M$27-'属性输入'!$O$11)*'属性输入'!$O$19*(1-'属性输入'!$S$25)*('属性输入'!$E$25+A30)</f>
        <v>17660.45746</v>
      </c>
      <c r="C30" s="98">
        <f t="shared" si="1"/>
        <v>0.05038132014</v>
      </c>
      <c r="D30" s="24">
        <f t="shared" si="3"/>
        <v>7600</v>
      </c>
      <c r="E30" s="15">
        <f t="shared" si="2"/>
        <v>0.001713028238</v>
      </c>
      <c r="F30" s="24">
        <v>0.1</v>
      </c>
    </row>
    <row r="31" ht="14.25" customHeight="1">
      <c r="A31" s="24">
        <v>1450.0</v>
      </c>
      <c r="B31" s="24">
        <f>('属性输入'!$N$19+'属性输入'!$O$19*('属性输入'!$B$25-'属性输入'!$E$11+'属性输入'!$F$25-'属性输入'!$R$25+'属性输入'!$N$25-'属性输入'!$K$11+'属性输入'!$S$27))*(1-'属性输入'!$P$25)*(1+'属性输入'!$K$27-'属性输入'!$O$11)+(1+'属性输入'!$M$27-'属性输入'!$O$11)*'属性输入'!$O$19*(1-'属性输入'!$S$25)*('属性输入'!$E$25+A31)</f>
        <v>17690.71032</v>
      </c>
      <c r="C31" s="98">
        <f t="shared" si="1"/>
        <v>0.052180653</v>
      </c>
      <c r="D31" s="24">
        <f t="shared" si="3"/>
        <v>7650</v>
      </c>
      <c r="E31" s="15">
        <f t="shared" si="2"/>
        <v>0.001710098791</v>
      </c>
      <c r="F31" s="24">
        <v>0.1</v>
      </c>
    </row>
    <row r="32" ht="14.25" customHeight="1">
      <c r="A32" s="24">
        <v>1500.0</v>
      </c>
      <c r="B32" s="24">
        <f>('属性输入'!$N$19+'属性输入'!$O$19*('属性输入'!$B$25-'属性输入'!$E$11+'属性输入'!$F$25-'属性输入'!$R$25+'属性输入'!$N$25-'属性输入'!$K$11+'属性输入'!$S$27))*(1-'属性输入'!$P$25)*(1+'属性输入'!$K$27-'属性输入'!$O$11)+(1+'属性输入'!$M$27-'属性输入'!$O$11)*'属性输入'!$O$19*(1-'属性输入'!$S$25)*('属性输入'!$E$25+A32)</f>
        <v>17720.96319</v>
      </c>
      <c r="C32" s="98">
        <f t="shared" si="1"/>
        <v>0.05397998586</v>
      </c>
      <c r="D32" s="24">
        <f t="shared" si="3"/>
        <v>7700</v>
      </c>
      <c r="E32" s="15">
        <f t="shared" si="2"/>
        <v>0.001707179345</v>
      </c>
      <c r="F32" s="24">
        <v>0.1</v>
      </c>
    </row>
    <row r="33" ht="14.25" customHeight="1">
      <c r="A33" s="24">
        <v>1550.0</v>
      </c>
      <c r="B33" s="24">
        <f>('属性输入'!$N$19+'属性输入'!$O$19*('属性输入'!$B$25-'属性输入'!$E$11+'属性输入'!$F$25-'属性输入'!$R$25+'属性输入'!$N$25-'属性输入'!$K$11+'属性输入'!$S$27))*(1-'属性输入'!$P$25)*(1+'属性输入'!$K$27-'属性输入'!$O$11)+(1+'属性输入'!$M$27-'属性输入'!$O$11)*'属性输入'!$O$19*(1-'属性输入'!$S$25)*('属性输入'!$E$25+A33)</f>
        <v>17751.21605</v>
      </c>
      <c r="C33" s="98">
        <f t="shared" si="1"/>
        <v>0.05577931873</v>
      </c>
      <c r="D33" s="24">
        <f t="shared" si="3"/>
        <v>7750</v>
      </c>
      <c r="E33" s="15">
        <f t="shared" si="2"/>
        <v>0.001704269851</v>
      </c>
      <c r="F33" s="24">
        <v>0.1</v>
      </c>
    </row>
    <row r="34" ht="14.25" customHeight="1">
      <c r="A34" s="24">
        <v>1600.0</v>
      </c>
      <c r="B34" s="24">
        <f>('属性输入'!$N$19+'属性输入'!$O$19*('属性输入'!$B$25-'属性输入'!$E$11+'属性输入'!$F$25-'属性输入'!$R$25+'属性输入'!$N$25-'属性输入'!$K$11+'属性输入'!$S$27))*(1-'属性输入'!$P$25)*(1+'属性输入'!$K$27-'属性输入'!$O$11)+(1+'属性输入'!$M$27-'属性输入'!$O$11)*'属性输入'!$O$19*(1-'属性输入'!$S$25)*('属性输入'!$E$25+A34)</f>
        <v>17781.46891</v>
      </c>
      <c r="C34" s="98">
        <f t="shared" si="1"/>
        <v>0.05757865159</v>
      </c>
      <c r="D34" s="24">
        <f t="shared" si="3"/>
        <v>7800</v>
      </c>
      <c r="E34" s="15">
        <f t="shared" si="2"/>
        <v>0.001701370257</v>
      </c>
      <c r="F34" s="24">
        <v>0.1</v>
      </c>
    </row>
    <row r="35" ht="14.25" customHeight="1">
      <c r="A35" s="24">
        <v>1650.0</v>
      </c>
      <c r="B35" s="24">
        <f>('属性输入'!$N$19+'属性输入'!$O$19*('属性输入'!$B$25-'属性输入'!$E$11+'属性输入'!$F$25-'属性输入'!$R$25+'属性输入'!$N$25-'属性输入'!$K$11+'属性输入'!$S$27))*(1-'属性输入'!$P$25)*(1+'属性输入'!$K$27-'属性输入'!$O$11)+(1+'属性输入'!$M$27-'属性输入'!$O$11)*'属性输入'!$O$19*(1-'属性输入'!$S$25)*('属性输入'!$E$25+A35)</f>
        <v>17811.72177</v>
      </c>
      <c r="C35" s="98">
        <f t="shared" si="1"/>
        <v>0.05937798445</v>
      </c>
      <c r="D35" s="24">
        <f t="shared" si="3"/>
        <v>7850</v>
      </c>
      <c r="E35" s="15">
        <f t="shared" si="2"/>
        <v>0.001698480513</v>
      </c>
      <c r="F35" s="24">
        <v>0.1</v>
      </c>
    </row>
    <row r="36" ht="14.25" customHeight="1">
      <c r="A36" s="24">
        <v>1700.0</v>
      </c>
      <c r="B36" s="24">
        <f>('属性输入'!$N$19+'属性输入'!$O$19*('属性输入'!$B$25-'属性输入'!$E$11+'属性输入'!$F$25-'属性输入'!$R$25+'属性输入'!$N$25-'属性输入'!$K$11+'属性输入'!$S$27))*(1-'属性输入'!$P$25)*(1+'属性输入'!$K$27-'属性输入'!$O$11)+(1+'属性输入'!$M$27-'属性输入'!$O$11)*'属性输入'!$O$19*(1-'属性输入'!$S$25)*('属性输入'!$E$25+A36)</f>
        <v>17841.97464</v>
      </c>
      <c r="C36" s="98">
        <f t="shared" si="1"/>
        <v>0.06117731731</v>
      </c>
      <c r="D36" s="24">
        <f t="shared" si="3"/>
        <v>7900</v>
      </c>
      <c r="E36" s="15">
        <f t="shared" si="2"/>
        <v>0.001695600568</v>
      </c>
      <c r="F36" s="24">
        <v>0.1</v>
      </c>
    </row>
    <row r="37" ht="14.25" customHeight="1">
      <c r="A37" s="24">
        <v>1750.0</v>
      </c>
      <c r="B37" s="24">
        <f>('属性输入'!$N$19+'属性输入'!$O$19*('属性输入'!$B$25-'属性输入'!$E$11+'属性输入'!$F$25-'属性输入'!$R$25+'属性输入'!$N$25-'属性输入'!$K$11+'属性输入'!$S$27))*(1-'属性输入'!$P$25)*(1+'属性输入'!$K$27-'属性输入'!$O$11)+(1+'属性输入'!$M$27-'属性输入'!$O$11)*'属性输入'!$O$19*(1-'属性输入'!$S$25)*('属性输入'!$E$25+A37)</f>
        <v>17872.2275</v>
      </c>
      <c r="C37" s="98">
        <f t="shared" si="1"/>
        <v>0.06297665017</v>
      </c>
      <c r="D37" s="24">
        <f t="shared" si="3"/>
        <v>7950</v>
      </c>
      <c r="E37" s="15">
        <f t="shared" si="2"/>
        <v>0.001692730374</v>
      </c>
      <c r="F37" s="24">
        <v>0.1</v>
      </c>
    </row>
    <row r="38" ht="14.25" customHeight="1">
      <c r="A38" s="24">
        <v>1800.0</v>
      </c>
      <c r="B38" s="24">
        <f>('属性输入'!$N$19+'属性输入'!$O$19*('属性输入'!$B$25-'属性输入'!$E$11+'属性输入'!$F$25-'属性输入'!$R$25+'属性输入'!$N$25-'属性输入'!$K$11+'属性输入'!$S$27))*(1-'属性输入'!$P$25)*(1+'属性输入'!$K$27-'属性输入'!$O$11)+(1+'属性输入'!$M$27-'属性输入'!$O$11)*'属性输入'!$O$19*(1-'属性输入'!$S$25)*('属性输入'!$E$25+A38)</f>
        <v>17902.48036</v>
      </c>
      <c r="C38" s="98">
        <f t="shared" si="1"/>
        <v>0.06477598304</v>
      </c>
      <c r="D38" s="24">
        <f t="shared" si="3"/>
        <v>8000</v>
      </c>
      <c r="E38" s="15">
        <f t="shared" si="2"/>
        <v>0.001689869879</v>
      </c>
      <c r="F38" s="24">
        <v>0.1</v>
      </c>
    </row>
    <row r="39" ht="14.25" customHeight="1">
      <c r="A39" s="24">
        <v>1850.0</v>
      </c>
      <c r="B39" s="24">
        <f>('属性输入'!$N$19+'属性输入'!$O$19*('属性输入'!$B$25-'属性输入'!$E$11+'属性输入'!$F$25-'属性输入'!$R$25+'属性输入'!$N$25-'属性输入'!$K$11+'属性输入'!$S$27))*(1-'属性输入'!$P$25)*(1+'属性输入'!$K$27-'属性输入'!$O$11)+(1+'属性输入'!$M$27-'属性输入'!$O$11)*'属性输入'!$O$19*(1-'属性输入'!$S$25)*('属性输入'!$E$25+A39)</f>
        <v>17932.73322</v>
      </c>
      <c r="C39" s="98">
        <f t="shared" si="1"/>
        <v>0.0665753159</v>
      </c>
      <c r="D39" s="24">
        <f t="shared" si="3"/>
        <v>8050</v>
      </c>
      <c r="E39" s="15">
        <f t="shared" si="2"/>
        <v>0.001687019037</v>
      </c>
      <c r="F39" s="24">
        <v>0.1</v>
      </c>
    </row>
    <row r="40" ht="14.25" customHeight="1">
      <c r="A40" s="24">
        <v>1900.0</v>
      </c>
      <c r="B40" s="24">
        <f>('属性输入'!$N$19+'属性输入'!$O$19*('属性输入'!$B$25-'属性输入'!$E$11+'属性输入'!$F$25-'属性输入'!$R$25+'属性输入'!$N$25-'属性输入'!$K$11+'属性输入'!$S$27))*(1-'属性输入'!$P$25)*(1+'属性输入'!$K$27-'属性输入'!$O$11)+(1+'属性输入'!$M$27-'属性输入'!$O$11)*'属性输入'!$O$19*(1-'属性输入'!$S$25)*('属性输入'!$E$25+A40)</f>
        <v>17962.98609</v>
      </c>
      <c r="C40" s="98">
        <f t="shared" si="1"/>
        <v>0.06837464876</v>
      </c>
      <c r="D40" s="24">
        <f t="shared" si="3"/>
        <v>8100</v>
      </c>
      <c r="E40" s="15">
        <f t="shared" si="2"/>
        <v>0.001684177797</v>
      </c>
      <c r="F40" s="24">
        <v>0.1</v>
      </c>
    </row>
    <row r="41" ht="14.25" customHeight="1">
      <c r="A41" s="24">
        <v>1950.0</v>
      </c>
      <c r="B41" s="24">
        <f>('属性输入'!$N$19+'属性输入'!$O$19*('属性输入'!$B$25-'属性输入'!$E$11+'属性输入'!$F$25-'属性输入'!$R$25+'属性输入'!$N$25-'属性输入'!$K$11+'属性输入'!$S$27))*(1-'属性输入'!$P$25)*(1+'属性输入'!$K$27-'属性输入'!$O$11)+(1+'属性输入'!$M$27-'属性输入'!$O$11)*'属性输入'!$O$19*(1-'属性输入'!$S$25)*('属性输入'!$E$25+A41)</f>
        <v>17993.23895</v>
      </c>
      <c r="C41" s="98">
        <f t="shared" si="1"/>
        <v>0.07017398162</v>
      </c>
      <c r="D41" s="24">
        <f t="shared" si="3"/>
        <v>8150</v>
      </c>
      <c r="E41" s="15">
        <f t="shared" si="2"/>
        <v>0.001681346111</v>
      </c>
      <c r="F41" s="24">
        <v>0.1</v>
      </c>
    </row>
    <row r="42" ht="14.25" customHeight="1">
      <c r="A42" s="24">
        <v>2000.0</v>
      </c>
      <c r="B42" s="24">
        <f>('属性输入'!$N$19+'属性输入'!$O$19*('属性输入'!$B$25-'属性输入'!$E$11+'属性输入'!$F$25-'属性输入'!$R$25+'属性输入'!$N$25-'属性输入'!$K$11+'属性输入'!$S$27))*(1-'属性输入'!$P$25)*(1+'属性输入'!$K$27-'属性输入'!$O$11)+(1+'属性输入'!$M$27-'属性输入'!$O$11)*'属性输入'!$O$19*(1-'属性输入'!$S$25)*('属性输入'!$E$25+A42)</f>
        <v>18023.49181</v>
      </c>
      <c r="C42" s="98">
        <f t="shared" si="1"/>
        <v>0.07197331448</v>
      </c>
      <c r="D42" s="24">
        <f t="shared" si="3"/>
        <v>8200</v>
      </c>
      <c r="E42" s="15">
        <f t="shared" si="2"/>
        <v>0.001678523931</v>
      </c>
      <c r="F42" s="24">
        <v>0.1</v>
      </c>
    </row>
    <row r="43" ht="14.25" customHeight="1">
      <c r="A43" s="24">
        <v>2050.0</v>
      </c>
      <c r="B43" s="24">
        <f>('属性输入'!$N$19+'属性输入'!$O$19*('属性输入'!$B$25-'属性输入'!$E$11+'属性输入'!$F$25-'属性输入'!$R$25+'属性输入'!$N$25-'属性输入'!$K$11+'属性输入'!$S$27))*(1-'属性输入'!$P$25)*(1+'属性输入'!$K$27-'属性输入'!$O$11)+(1+'属性输入'!$M$27-'属性输入'!$O$11)*'属性输入'!$O$19*(1-'属性输入'!$S$25)*('属性输入'!$E$25+A43)</f>
        <v>18053.74467</v>
      </c>
      <c r="C43" s="98">
        <f t="shared" si="1"/>
        <v>0.07377264735</v>
      </c>
      <c r="D43" s="24">
        <f t="shared" si="3"/>
        <v>8250</v>
      </c>
      <c r="E43" s="15">
        <f t="shared" si="2"/>
        <v>0.00167571121</v>
      </c>
      <c r="F43" s="24">
        <v>0.1</v>
      </c>
    </row>
    <row r="44" ht="14.25" customHeight="1">
      <c r="A44" s="24">
        <v>2100.0</v>
      </c>
      <c r="B44" s="24">
        <f>('属性输入'!$N$19+'属性输入'!$O$19*('属性输入'!$B$25-'属性输入'!$E$11+'属性输入'!$F$25-'属性输入'!$R$25+'属性输入'!$N$25-'属性输入'!$K$11+'属性输入'!$S$27))*(1-'属性输入'!$P$25)*(1+'属性输入'!$K$27-'属性输入'!$O$11)+(1+'属性输入'!$M$27-'属性输入'!$O$11)*'属性输入'!$O$19*(1-'属性输入'!$S$25)*('属性输入'!$E$25+A44)</f>
        <v>18083.99753</v>
      </c>
      <c r="C44" s="98">
        <f t="shared" si="1"/>
        <v>0.07557198021</v>
      </c>
      <c r="D44" s="24">
        <f t="shared" si="3"/>
        <v>8300</v>
      </c>
      <c r="E44" s="15">
        <f t="shared" si="2"/>
        <v>0.001672907899</v>
      </c>
      <c r="F44" s="24">
        <v>0.1</v>
      </c>
    </row>
    <row r="45" ht="14.25" customHeight="1">
      <c r="A45" s="24">
        <v>2150.0</v>
      </c>
      <c r="B45" s="24">
        <f>('属性输入'!$N$19+'属性输入'!$O$19*('属性输入'!$B$25-'属性输入'!$E$11+'属性输入'!$F$25-'属性输入'!$R$25+'属性输入'!$N$25-'属性输入'!$K$11+'属性输入'!$S$27))*(1-'属性输入'!$P$25)*(1+'属性输入'!$K$27-'属性输入'!$O$11)+(1+'属性输入'!$M$27-'属性输入'!$O$11)*'属性输入'!$O$19*(1-'属性输入'!$S$25)*('属性输入'!$E$25+A45)</f>
        <v>18114.2504</v>
      </c>
      <c r="C45" s="98">
        <f t="shared" si="1"/>
        <v>0.07737131307</v>
      </c>
      <c r="D45" s="24">
        <f t="shared" si="3"/>
        <v>8350</v>
      </c>
      <c r="E45" s="15">
        <f t="shared" si="2"/>
        <v>0.001670113953</v>
      </c>
      <c r="F45" s="24">
        <v>0.1</v>
      </c>
    </row>
    <row r="46" ht="14.25" customHeight="1">
      <c r="A46" s="24">
        <v>2200.0</v>
      </c>
      <c r="B46" s="24">
        <f>('属性输入'!$N$19+'属性输入'!$O$19*('属性输入'!$B$25-'属性输入'!$E$11+'属性输入'!$F$25-'属性输入'!$R$25+'属性输入'!$N$25-'属性输入'!$K$11+'属性输入'!$S$27))*(1-'属性输入'!$P$25)*(1+'属性输入'!$K$27-'属性输入'!$O$11)+(1+'属性输入'!$M$27-'属性输入'!$O$11)*'属性输入'!$O$19*(1-'属性输入'!$S$25)*('属性输入'!$E$25+A46)</f>
        <v>18144.50326</v>
      </c>
      <c r="C46" s="98">
        <f t="shared" si="1"/>
        <v>0.07917064593</v>
      </c>
      <c r="D46" s="24">
        <f t="shared" si="3"/>
        <v>8400</v>
      </c>
      <c r="E46" s="15">
        <f t="shared" si="2"/>
        <v>0.001667329323</v>
      </c>
      <c r="F46" s="24">
        <v>0.1</v>
      </c>
    </row>
    <row r="47" ht="14.25" customHeight="1">
      <c r="A47" s="24">
        <v>2250.0</v>
      </c>
      <c r="B47" s="24">
        <f>('属性输入'!$N$19+'属性输入'!$O$19*('属性输入'!$B$25-'属性输入'!$E$11+'属性输入'!$F$25-'属性输入'!$R$25+'属性输入'!$N$25-'属性输入'!$K$11+'属性输入'!$S$27))*(1-'属性输入'!$P$25)*(1+'属性输入'!$K$27-'属性输入'!$O$11)+(1+'属性输入'!$M$27-'属性输入'!$O$11)*'属性输入'!$O$19*(1-'属性输入'!$S$25)*('属性输入'!$E$25+A47)</f>
        <v>18174.75612</v>
      </c>
      <c r="C47" s="98">
        <f t="shared" si="1"/>
        <v>0.08096997879</v>
      </c>
      <c r="D47" s="24">
        <f t="shared" si="3"/>
        <v>8450</v>
      </c>
      <c r="E47" s="15">
        <f t="shared" si="2"/>
        <v>0.001664553963</v>
      </c>
      <c r="F47" s="24">
        <v>0.1</v>
      </c>
    </row>
    <row r="48" ht="14.25" customHeight="1">
      <c r="A48" s="24">
        <v>2300.0</v>
      </c>
      <c r="B48" s="24">
        <f>('属性输入'!$N$19+'属性输入'!$O$19*('属性输入'!$B$25-'属性输入'!$E$11+'属性输入'!$F$25-'属性输入'!$R$25+'属性输入'!$N$25-'属性输入'!$K$11+'属性输入'!$S$27))*(1-'属性输入'!$P$25)*(1+'属性输入'!$K$27-'属性输入'!$O$11)+(1+'属性输入'!$M$27-'属性输入'!$O$11)*'属性输入'!$O$19*(1-'属性输入'!$S$25)*('属性输入'!$E$25+A48)</f>
        <v>18205.00898</v>
      </c>
      <c r="C48" s="98">
        <f t="shared" si="1"/>
        <v>0.08276931166</v>
      </c>
      <c r="D48" s="24">
        <f t="shared" si="3"/>
        <v>8500</v>
      </c>
      <c r="E48" s="15">
        <f t="shared" si="2"/>
        <v>0.001661787828</v>
      </c>
      <c r="F48" s="24">
        <v>0.1</v>
      </c>
    </row>
    <row r="49" ht="14.25" customHeight="1">
      <c r="A49" s="24">
        <v>2350.0</v>
      </c>
      <c r="B49" s="24">
        <f>('属性输入'!$N$19+'属性输入'!$O$19*('属性输入'!$B$25-'属性输入'!$E$11+'属性输入'!$F$25-'属性输入'!$R$25+'属性输入'!$N$25-'属性输入'!$K$11+'属性输入'!$S$27))*(1-'属性输入'!$P$25)*(1+'属性输入'!$K$27-'属性输入'!$O$11)+(1+'属性输入'!$M$27-'属性输入'!$O$11)*'属性输入'!$O$19*(1-'属性输入'!$S$25)*('属性输入'!$E$25+A49)</f>
        <v>18235.26185</v>
      </c>
      <c r="C49" s="98">
        <f t="shared" si="1"/>
        <v>0.08456864452</v>
      </c>
      <c r="D49" s="24">
        <f t="shared" si="3"/>
        <v>8550</v>
      </c>
      <c r="E49" s="15">
        <f t="shared" si="2"/>
        <v>0.00165903087</v>
      </c>
      <c r="F49" s="24">
        <v>0.1</v>
      </c>
    </row>
    <row r="50" ht="14.25" customHeight="1">
      <c r="A50" s="24">
        <v>2400.0</v>
      </c>
      <c r="B50" s="24">
        <f>('属性输入'!$N$19+'属性输入'!$O$19*('属性输入'!$B$25-'属性输入'!$E$11+'属性输入'!$F$25-'属性输入'!$R$25+'属性输入'!$N$25-'属性输入'!$K$11+'属性输入'!$S$27))*(1-'属性输入'!$P$25)*(1+'属性输入'!$K$27-'属性输入'!$O$11)+(1+'属性输入'!$M$27-'属性输入'!$O$11)*'属性输入'!$O$19*(1-'属性输入'!$S$25)*('属性输入'!$E$25+A50)</f>
        <v>18265.51471</v>
      </c>
      <c r="C50" s="98">
        <f t="shared" si="1"/>
        <v>0.08636797738</v>
      </c>
      <c r="D50" s="24">
        <f t="shared" si="3"/>
        <v>8600</v>
      </c>
      <c r="F50" s="24">
        <v>0.1</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4" width="12.86"/>
    <col customWidth="1" min="5" max="5" width="16.14"/>
    <col customWidth="1" min="6" max="7" width="9.0"/>
    <col customWidth="1" min="8" max="8" width="22.57"/>
    <col customWidth="1" min="9" max="23" width="9.0"/>
    <col customWidth="1" min="24" max="25" width="12.86"/>
    <col customWidth="1" min="26" max="26" width="9.0"/>
    <col customWidth="1" min="27" max="27" width="12.86"/>
  </cols>
  <sheetData>
    <row r="1" ht="14.25" customHeight="1">
      <c r="A1" s="24" t="s">
        <v>231</v>
      </c>
      <c r="B1" s="24" t="s">
        <v>121</v>
      </c>
      <c r="C1" s="24" t="s">
        <v>122</v>
      </c>
      <c r="D1" s="24" t="s">
        <v>232</v>
      </c>
      <c r="E1" s="24" t="s">
        <v>222</v>
      </c>
      <c r="F1" s="24" t="s">
        <v>223</v>
      </c>
      <c r="G1" s="24" t="s">
        <v>109</v>
      </c>
      <c r="H1" s="24" t="s">
        <v>233</v>
      </c>
      <c r="V1" s="24" t="s">
        <v>231</v>
      </c>
      <c r="W1" s="24" t="s">
        <v>121</v>
      </c>
      <c r="X1" s="24" t="s">
        <v>122</v>
      </c>
      <c r="Y1" s="24" t="s">
        <v>232</v>
      </c>
      <c r="Z1" s="24" t="s">
        <v>234</v>
      </c>
    </row>
    <row r="2" ht="14.25" customHeight="1">
      <c r="A2" s="143">
        <v>0.0</v>
      </c>
      <c r="B2" s="143">
        <f>MAX('属性输入'!$B$11-A2-'属性输入'!$C$25,0)</f>
        <v>5500</v>
      </c>
      <c r="C2" s="24">
        <f t="shared" ref="C2:C19" si="1">(0.1+B2/(B2+19032))</f>
        <v>0.3241969672</v>
      </c>
      <c r="D2" s="24">
        <f>('属性输入'!$N$19+'属性输入'!$O$19*('属性输入'!$B$25-'属性输入'!$E$11+'属性输入'!$F$25-'属性输入'!$R$25+'属性输入'!$N$25-'属性输入'!$K$11+'属性输入'!$S$27))*(1-C2)*(1+'属性输入'!$K$27-'属性输入'!$O$11)+(1+'属性输入'!$M$27-'属性输入'!$O$11)*'属性输入'!$O$19*(1-'属性输入'!$S$25)*'属性输入'!$E$25</f>
        <v>16813.37732</v>
      </c>
      <c r="E2" s="98">
        <f t="shared" ref="E2:E19" si="2">(D2-$D$2)/$D$2</f>
        <v>0</v>
      </c>
      <c r="F2" s="24">
        <v>0.1</v>
      </c>
      <c r="G2" s="144">
        <f>'属性输入'!$C$25+A2</f>
        <v>13000</v>
      </c>
      <c r="H2" s="15">
        <f t="shared" ref="H2:H18" si="3">(D3-D2)/D2</f>
        <v>0.005486668651</v>
      </c>
      <c r="V2" s="143">
        <v>0.0</v>
      </c>
      <c r="W2" s="144">
        <f>MAX('属性输入'!$B$11-V2-'属性输入'!$C$25,0)</f>
        <v>5500</v>
      </c>
      <c r="X2" s="24">
        <f t="shared" ref="X2:X4" si="4">(0.1+W2/(W2+19032))</f>
        <v>0.3241969672</v>
      </c>
      <c r="Y2" s="24">
        <f>('属性输入'!$N$19+'属性输入'!$O$19*('属性输入'!$B$25-'属性输入'!$E$11+'属性输入'!$F$25-'属性输入'!$R$25+'属性输入'!$N$25-'属性输入'!$K$11+'属性输入'!$S$27))*(1-X2)*(1+'属性输入'!$K$27-'属性输入'!$O$11)+(1+'属性输入'!$M$27-'属性输入'!$O$11)*'属性输入'!$O$19*(1-'属性输入'!$S$25)*'属性输入'!$E$25</f>
        <v>16813.37732</v>
      </c>
      <c r="Z2" s="15">
        <f>(Y3-Y2)/Y2</f>
        <v>0.003650293469</v>
      </c>
      <c r="AA2" s="24" t="s">
        <v>235</v>
      </c>
    </row>
    <row r="3" ht="14.25" customHeight="1">
      <c r="A3" s="143">
        <v>150.0</v>
      </c>
      <c r="B3" s="143">
        <f>MAX('属性输入'!$B$11-A3-'属性输入'!$C$25,0)</f>
        <v>5350</v>
      </c>
      <c r="C3" s="24">
        <f t="shared" si="1"/>
        <v>0.3194241654</v>
      </c>
      <c r="D3" s="24">
        <f>('属性输入'!$N$19+'属性输入'!$O$19*('属性输入'!$B$25-'属性输入'!$E$11+'属性输入'!$F$25-'属性输入'!$R$25+'属性输入'!$N$25-'属性输入'!$K$11+'属性输入'!$S$27))*(1-C3)*(1+'属性输入'!$K$27-'属性输入'!$O$11)+(1+'属性输入'!$M$27-'属性输入'!$O$11)*'属性输入'!$O$19*(1-'属性输入'!$S$25)*'属性输入'!$E$25</f>
        <v>16905.62675</v>
      </c>
      <c r="E3" s="98">
        <f t="shared" si="2"/>
        <v>0.005486668651</v>
      </c>
      <c r="F3" s="24">
        <v>0.1</v>
      </c>
      <c r="G3" s="144">
        <f>'属性输入'!$C$25+A3</f>
        <v>13150</v>
      </c>
      <c r="H3" s="15">
        <f t="shared" si="3"/>
        <v>0.00552428546</v>
      </c>
      <c r="V3" s="143">
        <v>100.0</v>
      </c>
      <c r="W3" s="144">
        <f>MAX('属性输入'!$B$11-V3-'属性输入'!$C$25,0)</f>
        <v>5400</v>
      </c>
      <c r="X3" s="24">
        <f t="shared" si="4"/>
        <v>0.321021611</v>
      </c>
      <c r="Y3" s="24">
        <f>('属性输入'!$N$19+'属性输入'!$O$19*('属性输入'!$B$25-'属性输入'!$E$11+'属性输入'!$F$25-'属性输入'!$R$25+'属性输入'!$N$25-'属性输入'!$K$11+'属性输入'!$S$27))*(1-X3)*(1+'属性输入'!$K$27-'属性输入'!$O$11)+(1+'属性输入'!$M$27-'属性输入'!$O$11)*'属性输入'!$O$19*(1-'属性输入'!$S$25)*'属性输入'!$E$25</f>
        <v>16874.75108</v>
      </c>
      <c r="Z3" s="15"/>
    </row>
    <row r="4" ht="14.25" customHeight="1">
      <c r="A4" s="143">
        <v>300.0</v>
      </c>
      <c r="B4" s="143">
        <f>MAX('属性输入'!$B$11-A4-'属性输入'!$C$25,0)</f>
        <v>5200</v>
      </c>
      <c r="C4" s="24">
        <f t="shared" si="1"/>
        <v>0.3145922747</v>
      </c>
      <c r="D4" s="24">
        <f>('属性输入'!$N$19+'属性输入'!$O$19*('属性输入'!$B$25-'属性输入'!$E$11+'属性输入'!$F$25-'属性输入'!$R$25+'属性输入'!$N$25-'属性输入'!$K$11+'属性输入'!$S$27))*(1-C4)*(1+'属性输入'!$K$27-'属性输入'!$O$11)+(1+'属性输入'!$M$27-'属性输入'!$O$11)*'属性输入'!$O$19*(1-'属性输入'!$S$25)*'属性输入'!$E$25</f>
        <v>16999.01825</v>
      </c>
      <c r="E4" s="98">
        <f t="shared" si="2"/>
        <v>0.01104126404</v>
      </c>
      <c r="F4" s="24">
        <v>0.1</v>
      </c>
      <c r="G4" s="144">
        <f>'属性输入'!$C$25+A4</f>
        <v>13300</v>
      </c>
      <c r="H4" s="15">
        <f t="shared" si="3"/>
        <v>0.005562375747</v>
      </c>
      <c r="V4" s="24">
        <v>393.0</v>
      </c>
      <c r="W4" s="24">
        <f>MAX('属性输入'!$B$11-V4-'属性输入'!$C$25,0)</f>
        <v>5107</v>
      </c>
      <c r="X4" s="24">
        <f t="shared" si="4"/>
        <v>0.3115663449</v>
      </c>
      <c r="Y4" s="24">
        <f>('属性输入'!$N$19+'属性输入'!$O$19*('属性输入'!$B$25-'属性输入'!$E$11+'属性输入'!$F$25-'属性输入'!$R$25+'属性输入'!$N$25-'属性输入'!$K$11+'属性输入'!$S$27))*(1-X4)*(1+'属性输入'!$K$27-'属性输入'!$O$11)+(1+'属性输入'!$M$27-'属性输入'!$O$11)*'属性输入'!$O$19*(1-'属性输入'!$S$25)*'属性输入'!$E$25</f>
        <v>17057.50388</v>
      </c>
      <c r="AA4" s="98">
        <f>(Y4-Y2)/Y2</f>
        <v>0.01451978136</v>
      </c>
    </row>
    <row r="5" ht="14.25" customHeight="1">
      <c r="A5" s="143">
        <v>450.0</v>
      </c>
      <c r="B5" s="143">
        <f>MAX('属性输入'!$B$11-A5-'属性输入'!$C$25,0)</f>
        <v>5050</v>
      </c>
      <c r="C5" s="24">
        <f t="shared" si="1"/>
        <v>0.309700191</v>
      </c>
      <c r="D5" s="24">
        <f>('属性输入'!$N$19+'属性输入'!$O$19*('属性输入'!$B$25-'属性输入'!$E$11+'属性输入'!$F$25-'属性输入'!$R$25+'属性输入'!$N$25-'属性输入'!$K$11+'属性输入'!$S$27))*(1-C5)*(1+'属性输入'!$K$27-'属性输入'!$O$11)+(1+'属性输入'!$M$27-'属性输入'!$O$11)*'属性输入'!$O$19*(1-'属性输入'!$S$25)*'属性输入'!$E$25</f>
        <v>17093.57318</v>
      </c>
      <c r="E5" s="98">
        <f t="shared" si="2"/>
        <v>0.01666505544</v>
      </c>
      <c r="F5" s="24">
        <v>0.1</v>
      </c>
      <c r="G5" s="144">
        <f>'属性输入'!$C$25+A5</f>
        <v>13450</v>
      </c>
      <c r="H5" s="15">
        <f t="shared" si="3"/>
        <v>0.005600948425</v>
      </c>
    </row>
    <row r="6" ht="14.25" customHeight="1">
      <c r="A6" s="143">
        <v>600.0</v>
      </c>
      <c r="B6" s="143">
        <f>MAX('属性输入'!$B$11-A6-'属性输入'!$C$25,0)</f>
        <v>4900</v>
      </c>
      <c r="C6" s="24">
        <f t="shared" si="1"/>
        <v>0.3047467826</v>
      </c>
      <c r="D6" s="24">
        <f>('属性输入'!$N$19+'属性输入'!$O$19*('属性输入'!$B$25-'属性输入'!$E$11+'属性输入'!$F$25-'属性输入'!$R$25+'属性输入'!$N$25-'属性输入'!$K$11+'属性输入'!$S$27))*(1-C6)*(1+'属性输入'!$K$27-'属性输入'!$O$11)+(1+'属性输入'!$M$27-'属性输入'!$O$11)*'属性输入'!$O$19*(1-'属性输入'!$S$25)*'属性输入'!$E$25</f>
        <v>17189.3134</v>
      </c>
      <c r="E6" s="98">
        <f t="shared" si="2"/>
        <v>0.02235934398</v>
      </c>
      <c r="F6" s="24">
        <v>0.1</v>
      </c>
      <c r="G6" s="144">
        <f>'属性输入'!$C$25+A6</f>
        <v>13600</v>
      </c>
      <c r="H6" s="15">
        <f t="shared" si="3"/>
        <v>0.005640012631</v>
      </c>
    </row>
    <row r="7" ht="14.25" customHeight="1">
      <c r="A7" s="143">
        <v>750.0</v>
      </c>
      <c r="B7" s="143">
        <f>MAX('属性输入'!$B$11-A7-'属性输入'!$C$25,0)</f>
        <v>4750</v>
      </c>
      <c r="C7" s="24">
        <f t="shared" si="1"/>
        <v>0.2997308889</v>
      </c>
      <c r="D7" s="24">
        <f>('属性输入'!$N$19+'属性输入'!$O$19*('属性输入'!$B$25-'属性输入'!$E$11+'属性输入'!$F$25-'属性输入'!$R$25+'属性输入'!$N$25-'属性输入'!$K$11+'属性输入'!$S$27))*(1-C7)*(1+'属性输入'!$K$27-'属性输入'!$O$11)+(1+'属性输入'!$M$27-'属性输入'!$O$11)*'属性输入'!$O$19*(1-'属性输入'!$S$25)*'属性输入'!$E$25</f>
        <v>17286.26135</v>
      </c>
      <c r="E7" s="98">
        <f t="shared" si="2"/>
        <v>0.0281254636</v>
      </c>
      <c r="F7" s="24">
        <v>0.1</v>
      </c>
      <c r="G7" s="144">
        <f>'属性输入'!$C$25+A7</f>
        <v>13750</v>
      </c>
      <c r="H7" s="15">
        <f t="shared" si="3"/>
        <v>0.005679577735</v>
      </c>
      <c r="V7" s="98"/>
    </row>
    <row r="8" ht="14.25" customHeight="1">
      <c r="A8" s="143">
        <v>900.0</v>
      </c>
      <c r="B8" s="143">
        <f>MAX('属性输入'!$B$11-A8-'属性输入'!$C$25,0)</f>
        <v>4600</v>
      </c>
      <c r="C8" s="24">
        <f t="shared" si="1"/>
        <v>0.2946513202</v>
      </c>
      <c r="D8" s="24">
        <f>('属性输入'!$N$19+'属性输入'!$O$19*('属性输入'!$B$25-'属性输入'!$E$11+'属性输入'!$F$25-'属性输入'!$R$25+'属性输入'!$N$25-'属性输入'!$K$11+'属性输入'!$S$27))*(1-C8)*(1+'属性输入'!$K$27-'属性输入'!$O$11)+(1+'属性输入'!$M$27-'属性输入'!$O$11)*'属性输入'!$O$19*(1-'属性输入'!$S$25)*'属性输入'!$E$25</f>
        <v>17384.44001</v>
      </c>
      <c r="E8" s="98">
        <f t="shared" si="2"/>
        <v>0.03396478209</v>
      </c>
      <c r="F8" s="24">
        <v>0.1</v>
      </c>
      <c r="G8" s="144">
        <f>'属性输入'!$C$25+A8</f>
        <v>13900</v>
      </c>
      <c r="H8" s="15">
        <f t="shared" si="3"/>
        <v>0.005719653345</v>
      </c>
      <c r="V8" s="98"/>
    </row>
    <row r="9" ht="14.25" customHeight="1">
      <c r="A9" s="143">
        <v>1050.0</v>
      </c>
      <c r="B9" s="143">
        <f>MAX('属性输入'!$B$11-A9-'属性输入'!$C$25,0)</f>
        <v>4450</v>
      </c>
      <c r="C9" s="24">
        <f t="shared" si="1"/>
        <v>0.2895068563</v>
      </c>
      <c r="D9" s="24">
        <f>('属性输入'!$N$19+'属性输入'!$O$19*('属性输入'!$B$25-'属性输入'!$E$11+'属性输入'!$F$25-'属性输入'!$R$25+'属性输入'!$N$25-'属性输入'!$K$11+'属性输入'!$S$27))*(1-C9)*(1+'属性输入'!$K$27-'属性输入'!$O$11)+(1+'属性输入'!$M$27-'属性输入'!$O$11)*'属性输入'!$O$19*(1-'属性输入'!$S$25)*'属性输入'!$E$25</f>
        <v>17483.87298</v>
      </c>
      <c r="E9" s="98">
        <f t="shared" si="2"/>
        <v>0.03987870221</v>
      </c>
      <c r="F9" s="24">
        <v>0.1</v>
      </c>
      <c r="G9" s="144">
        <f>'属性输入'!$C$25+A9</f>
        <v>14050</v>
      </c>
      <c r="H9" s="15">
        <f t="shared" si="3"/>
        <v>0.005760249318</v>
      </c>
    </row>
    <row r="10" ht="14.25" customHeight="1">
      <c r="A10" s="143">
        <v>1200.0</v>
      </c>
      <c r="B10" s="143">
        <f>MAX('属性输入'!$B$11-A10-'属性输入'!$C$25,0)</f>
        <v>4300</v>
      </c>
      <c r="C10" s="24">
        <f t="shared" si="1"/>
        <v>0.2842962455</v>
      </c>
      <c r="D10" s="24">
        <f>('属性输入'!$N$19+'属性输入'!$O$19*('属性输入'!$B$25-'属性输入'!$E$11+'属性输入'!$F$25-'属性输入'!$R$25+'属性输入'!$N$25-'属性输入'!$K$11+'属性输入'!$S$27))*(1-C10)*(1+'属性输入'!$K$27-'属性输入'!$O$11)+(1+'属性输入'!$M$27-'属性输入'!$O$11)*'属性输入'!$O$19*(1-'属性输入'!$S$25)*'属性输入'!$E$25</f>
        <v>17584.58445</v>
      </c>
      <c r="E10" s="98">
        <f t="shared" si="2"/>
        <v>0.0458686628</v>
      </c>
      <c r="F10" s="24">
        <v>0.1</v>
      </c>
      <c r="G10" s="144">
        <f>'属性输入'!$C$25+A10</f>
        <v>14200</v>
      </c>
      <c r="H10" s="15">
        <f t="shared" si="3"/>
        <v>0.005801375766</v>
      </c>
    </row>
    <row r="11" ht="14.25" customHeight="1">
      <c r="A11" s="143">
        <v>1350.0</v>
      </c>
      <c r="B11" s="143">
        <f>MAX('属性输入'!$B$11-A11-'属性输入'!$C$25,0)</f>
        <v>4150</v>
      </c>
      <c r="C11" s="24">
        <f t="shared" si="1"/>
        <v>0.2790182038</v>
      </c>
      <c r="D11" s="24">
        <f>('属性输入'!$N$19+'属性输入'!$O$19*('属性输入'!$B$25-'属性输入'!$E$11+'属性输入'!$F$25-'属性输入'!$R$25+'属性输入'!$N$25-'属性输入'!$K$11+'属性输入'!$S$27))*(1-C11)*(1+'属性输入'!$K$27-'属性输入'!$O$11)+(1+'属性输入'!$M$27-'属性输入'!$O$11)*'属性输入'!$O$19*(1-'属性输入'!$S$25)*'属性输入'!$E$25</f>
        <v>17686.59923</v>
      </c>
      <c r="E11" s="98">
        <f t="shared" si="2"/>
        <v>0.05193613991</v>
      </c>
      <c r="F11" s="24">
        <v>0.1</v>
      </c>
      <c r="G11" s="144">
        <f>'属性输入'!$C$25+A11</f>
        <v>14350</v>
      </c>
      <c r="H11" s="15">
        <f t="shared" si="3"/>
        <v>0.005843043062</v>
      </c>
    </row>
    <row r="12" ht="14.25" customHeight="1">
      <c r="A12" s="143">
        <v>1500.0</v>
      </c>
      <c r="B12" s="143">
        <f>MAX('属性输入'!$B$11-A12-'属性输入'!$C$25,0)</f>
        <v>4000</v>
      </c>
      <c r="C12" s="24">
        <f t="shared" si="1"/>
        <v>0.2736714137</v>
      </c>
      <c r="D12" s="24">
        <f>('属性输入'!$N$19+'属性输入'!$O$19*('属性输入'!$B$25-'属性输入'!$E$11+'属性输入'!$F$25-'属性输入'!$R$25+'属性输入'!$N$25-'属性输入'!$K$11+'属性输入'!$S$27))*(1-C12)*(1+'属性输入'!$K$27-'属性输入'!$O$11)+(1+'属性输入'!$M$27-'属性输入'!$O$11)*'属性输入'!$O$19*(1-'属性输入'!$S$25)*'属性输入'!$E$25</f>
        <v>17789.94279</v>
      </c>
      <c r="E12" s="98">
        <f t="shared" si="2"/>
        <v>0.05808264808</v>
      </c>
      <c r="F12" s="24">
        <v>0.1</v>
      </c>
      <c r="G12" s="144">
        <f>'属性输入'!$C$25+A12</f>
        <v>14500</v>
      </c>
      <c r="H12" s="15">
        <f t="shared" si="3"/>
        <v>0.005885261854</v>
      </c>
    </row>
    <row r="13" ht="14.25" customHeight="1">
      <c r="A13" s="143">
        <v>1650.0</v>
      </c>
      <c r="B13" s="143">
        <f>MAX('属性输入'!$B$11-A13-'属性输入'!$C$25,0)</f>
        <v>3850</v>
      </c>
      <c r="C13" s="24">
        <f t="shared" si="1"/>
        <v>0.2682545232</v>
      </c>
      <c r="D13" s="24">
        <f>('属性输入'!$N$19+'属性输入'!$O$19*('属性输入'!$B$25-'属性输入'!$E$11+'属性输入'!$F$25-'属性输入'!$R$25+'属性输入'!$N$25-'属性输入'!$K$11+'属性输入'!$S$27))*(1-C13)*(1+'属性输入'!$K$27-'属性输入'!$O$11)+(1+'属性输入'!$M$27-'属性输入'!$O$11)*'属性输入'!$O$19*(1-'属性输入'!$S$25)*'属性输入'!$E$25</f>
        <v>17894.64127</v>
      </c>
      <c r="E13" s="98">
        <f t="shared" si="2"/>
        <v>0.06430974152</v>
      </c>
      <c r="F13" s="24">
        <v>0.1</v>
      </c>
      <c r="G13" s="144">
        <f>'属性输入'!$C$25+A13</f>
        <v>14650</v>
      </c>
      <c r="H13" s="15">
        <f t="shared" si="3"/>
        <v>0.00592804307</v>
      </c>
    </row>
    <row r="14" ht="14.25" customHeight="1">
      <c r="A14" s="143">
        <v>1800.0</v>
      </c>
      <c r="B14" s="143">
        <f>MAX('属性输入'!$B$11-A14-'属性输入'!$C$25,0)</f>
        <v>3700</v>
      </c>
      <c r="C14" s="24">
        <f t="shared" si="1"/>
        <v>0.2627661446</v>
      </c>
      <c r="D14" s="24">
        <f>('属性输入'!$N$19+'属性输入'!$O$19*('属性输入'!$B$25-'属性输入'!$E$11+'属性输入'!$F$25-'属性输入'!$R$25+'属性输入'!$N$25-'属性输入'!$K$11+'属性输入'!$S$27))*(1-C14)*(1+'属性输入'!$K$27-'属性输入'!$O$11)+(1+'属性输入'!$M$27-'属性输入'!$O$11)*'属性输入'!$O$19*(1-'属性输入'!$S$25)*'属性输入'!$E$25</f>
        <v>18000.72147</v>
      </c>
      <c r="E14" s="98">
        <f t="shared" si="2"/>
        <v>0.07061901551</v>
      </c>
      <c r="F14" s="24">
        <v>0.1</v>
      </c>
      <c r="G14" s="144">
        <f>'属性输入'!$C$25+A14</f>
        <v>14800</v>
      </c>
      <c r="H14" s="15">
        <f t="shared" si="3"/>
        <v>0.005971397927</v>
      </c>
    </row>
    <row r="15" ht="14.25" customHeight="1">
      <c r="A15" s="143">
        <v>1950.0</v>
      </c>
      <c r="B15" s="143">
        <f>MAX('属性输入'!$B$11-A15-'属性输入'!$C$25,0)</f>
        <v>3550</v>
      </c>
      <c r="C15" s="24">
        <f t="shared" si="1"/>
        <v>0.2572048534</v>
      </c>
      <c r="D15" s="24">
        <f>('属性输入'!$N$19+'属性输入'!$O$19*('属性输入'!$B$25-'属性输入'!$E$11+'属性输入'!$F$25-'属性输入'!$R$25+'属性输入'!$N$25-'属性输入'!$K$11+'属性输入'!$S$27))*(1-C15)*(1+'属性输入'!$K$27-'属性输入'!$O$11)+(1+'属性输入'!$M$27-'属性输入'!$O$11)*'属性输入'!$O$19*(1-'属性输入'!$S$25)*'属性输入'!$E$25</f>
        <v>18108.21094</v>
      </c>
      <c r="E15" s="98">
        <f t="shared" si="2"/>
        <v>0.07701210768</v>
      </c>
      <c r="F15" s="24">
        <v>0.1</v>
      </c>
      <c r="G15" s="144">
        <f>'属性输入'!$C$25+A15</f>
        <v>14950</v>
      </c>
      <c r="H15" s="15">
        <f t="shared" si="3"/>
        <v>0.006015337944</v>
      </c>
    </row>
    <row r="16" ht="14.25" customHeight="1">
      <c r="A16" s="143">
        <v>2100.0</v>
      </c>
      <c r="B16" s="143">
        <f>MAX('属性输入'!$B$11-A16-'属性输入'!$C$25,0)</f>
        <v>3400</v>
      </c>
      <c r="C16" s="24">
        <f t="shared" si="1"/>
        <v>0.2515691869</v>
      </c>
      <c r="D16" s="24">
        <f>('属性输入'!$N$19+'属性输入'!$O$19*('属性输入'!$B$25-'属性输入'!$E$11+'属性输入'!$F$25-'属性输入'!$R$25+'属性输入'!$N$25-'属性输入'!$K$11+'属性输入'!$S$27))*(1-C16)*(1+'属性输入'!$K$27-'属性输入'!$O$11)+(1+'属性输入'!$M$27-'属性输入'!$O$11)*'属性输入'!$O$19*(1-'属性输入'!$S$25)*'属性输入'!$E$25</f>
        <v>18217.13795</v>
      </c>
      <c r="E16" s="98">
        <f t="shared" si="2"/>
        <v>0.08349069948</v>
      </c>
      <c r="F16" s="24">
        <v>0.1</v>
      </c>
      <c r="G16" s="144">
        <f>'属性输入'!$C$25+A16</f>
        <v>15100</v>
      </c>
      <c r="H16" s="15">
        <f t="shared" si="3"/>
        <v>0.00605987495</v>
      </c>
    </row>
    <row r="17" ht="14.25" customHeight="1">
      <c r="A17" s="143">
        <v>2250.0</v>
      </c>
      <c r="B17" s="143">
        <f>MAX('属性输入'!$B$11-A17-'属性输入'!$C$25,0)</f>
        <v>3250</v>
      </c>
      <c r="C17" s="24">
        <f t="shared" si="1"/>
        <v>0.2458576429</v>
      </c>
      <c r="D17" s="24">
        <f>('属性输入'!$N$19+'属性输入'!$O$19*('属性输入'!$B$25-'属性输入'!$E$11+'属性输入'!$F$25-'属性输入'!$R$25+'属性输入'!$N$25-'属性输入'!$K$11+'属性输入'!$S$27))*(1-C17)*(1+'属性输入'!$K$27-'属性输入'!$O$11)+(1+'属性输入'!$M$27-'属性输入'!$O$11)*'属性输入'!$O$19*(1-'属性输入'!$S$25)*'属性输入'!$E$25</f>
        <v>18327.53153</v>
      </c>
      <c r="E17" s="98">
        <f t="shared" si="2"/>
        <v>0.09005651763</v>
      </c>
      <c r="F17" s="24">
        <v>0.1</v>
      </c>
      <c r="G17" s="144">
        <f>'属性输入'!$C$25+A17</f>
        <v>15250</v>
      </c>
      <c r="H17" s="15">
        <f t="shared" si="3"/>
        <v>0.006105021093</v>
      </c>
    </row>
    <row r="18" ht="14.25" customHeight="1">
      <c r="A18" s="143">
        <v>2400.0</v>
      </c>
      <c r="B18" s="143">
        <f>MAX('属性输入'!$B$11-A18-'属性输入'!$C$25,0)</f>
        <v>3100</v>
      </c>
      <c r="C18" s="24">
        <f t="shared" si="1"/>
        <v>0.2400686788</v>
      </c>
      <c r="D18" s="24">
        <f>('属性输入'!$N$19+'属性输入'!$O$19*('属性输入'!$B$25-'属性输入'!$E$11+'属性输入'!$F$25-'属性输入'!$R$25+'属性输入'!$N$25-'属性输入'!$K$11+'属性输入'!$S$27))*(1-C18)*(1+'属性输入'!$K$27-'属性输入'!$O$11)+(1+'属性输入'!$M$27-'属性输入'!$O$11)*'属性输入'!$O$19*(1-'属性输入'!$S$25)*'属性输入'!$E$25</f>
        <v>18439.42149</v>
      </c>
      <c r="E18" s="98">
        <f t="shared" si="2"/>
        <v>0.09671133566</v>
      </c>
      <c r="F18" s="24">
        <v>0.1</v>
      </c>
      <c r="G18" s="144">
        <f>'属性输入'!$C$25+A18</f>
        <v>15400</v>
      </c>
      <c r="H18" s="15">
        <f t="shared" si="3"/>
        <v>0.006150788854</v>
      </c>
    </row>
    <row r="19" ht="14.25" customHeight="1">
      <c r="A19" s="143">
        <v>2550.0</v>
      </c>
      <c r="B19" s="143">
        <f>MAX('属性输入'!$B$11-A19-'属性输入'!$C$25,0)</f>
        <v>2950</v>
      </c>
      <c r="C19" s="24">
        <f t="shared" si="1"/>
        <v>0.2342007097</v>
      </c>
      <c r="D19" s="24">
        <f>('属性输入'!$N$19+'属性输入'!$O$19*('属性输入'!$B$25-'属性输入'!$E$11+'属性输入'!$F$25-'属性输入'!$R$25+'属性输入'!$N$25-'属性输入'!$K$11+'属性输入'!$S$27))*(1-C19)*(1+'属性输入'!$K$27-'属性输入'!$O$11)+(1+'属性输入'!$M$27-'属性输入'!$O$11)*'属性输入'!$O$19*(1-'属性输入'!$S$25)*'属性输入'!$E$25</f>
        <v>18552.83848</v>
      </c>
      <c r="E19" s="98">
        <f t="shared" si="2"/>
        <v>0.1034569755</v>
      </c>
      <c r="F19" s="24">
        <v>0.1</v>
      </c>
      <c r="G19" s="144">
        <f>'属性输入'!$C$25+A19</f>
        <v>15550</v>
      </c>
      <c r="H19" s="15"/>
    </row>
    <row r="20" ht="14.25" customHeight="1"/>
    <row r="21" ht="14.25" customHeight="1"/>
    <row r="22" ht="14.25" customHeight="1">
      <c r="H22" s="6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12.86"/>
    <col customWidth="1" min="4" max="4" width="15.0"/>
    <col customWidth="1" min="5" max="5" width="14.43"/>
    <col customWidth="1" min="6" max="6" width="22.57"/>
    <col customWidth="1" min="7" max="18" width="9.0"/>
    <col customWidth="1" min="19" max="20" width="12.86"/>
    <col customWidth="1" min="21" max="26" width="9.0"/>
  </cols>
  <sheetData>
    <row r="1" ht="14.25" customHeight="1">
      <c r="A1" s="24" t="s">
        <v>236</v>
      </c>
      <c r="B1" s="24" t="s">
        <v>113</v>
      </c>
      <c r="C1" s="24" t="s">
        <v>237</v>
      </c>
      <c r="D1" s="24" t="s">
        <v>238</v>
      </c>
      <c r="E1" s="24" t="s">
        <v>222</v>
      </c>
      <c r="F1" s="24" t="s">
        <v>239</v>
      </c>
      <c r="G1" s="24" t="s">
        <v>223</v>
      </c>
      <c r="Q1" s="24" t="s">
        <v>236</v>
      </c>
      <c r="R1" s="24" t="s">
        <v>113</v>
      </c>
      <c r="S1" s="24" t="s">
        <v>237</v>
      </c>
      <c r="T1" s="24" t="s">
        <v>238</v>
      </c>
      <c r="U1" s="24" t="s">
        <v>222</v>
      </c>
      <c r="V1" s="24" t="s">
        <v>240</v>
      </c>
    </row>
    <row r="2" ht="14.25" customHeight="1">
      <c r="A2" s="143">
        <v>0.0</v>
      </c>
      <c r="B2" s="143">
        <f>A2+'属性输入'!$G$25</f>
        <v>4400</v>
      </c>
      <c r="C2" s="24">
        <f>MIN((143*(B2-'属性输入'!$F$11)/(B2-'属性输入'!F$11+10688)+95)/100,1)</f>
        <v>1</v>
      </c>
      <c r="D2" s="24">
        <f>'属性输入'!$B$27*C2*(1+('属性输入'!$I$25-'属性输入'!$J$11)*'属性输入'!$P$27)+0.5*'属性输入'!$B$27*(1-C2)</f>
        <v>19644.35872</v>
      </c>
      <c r="E2" s="98">
        <f t="shared" ref="E2:E17" si="1">(D2-$D$2)/$D$2</f>
        <v>0</v>
      </c>
      <c r="F2" s="15">
        <f t="shared" ref="F2:F16" si="2">(D3-D2)/D2</f>
        <v>0</v>
      </c>
      <c r="G2" s="24">
        <v>0.1</v>
      </c>
      <c r="Q2" s="143">
        <v>0.0</v>
      </c>
      <c r="R2" s="143">
        <f>Q2+'属性输入'!$G$25</f>
        <v>4400</v>
      </c>
      <c r="S2" s="24">
        <f>MIN((143*(R2-'属性输入'!$F$11)/(R2-'属性输入'!$F$11+10688)+95)/100,1)</f>
        <v>1</v>
      </c>
      <c r="T2" s="24">
        <f>'属性输入'!$B$27*S2*(1+('属性输入'!$I$25-'属性输入'!$J$11)*'属性输入'!$P$27)+0.5*'属性输入'!$B$27*(1-S2)</f>
        <v>19644.35872</v>
      </c>
      <c r="U2" s="98">
        <f t="shared" ref="U2:U4" si="3">(T2-$D$2)/$D$2</f>
        <v>0</v>
      </c>
      <c r="V2" s="15">
        <f>(T3-T2)/T2</f>
        <v>0</v>
      </c>
    </row>
    <row r="3" ht="14.25" customHeight="1">
      <c r="A3" s="24">
        <v>21.0</v>
      </c>
      <c r="B3" s="143">
        <f>A3+'属性输入'!$G$25</f>
        <v>4421</v>
      </c>
      <c r="C3" s="24">
        <f>MIN((143*(B3-'属性输入'!$F$11)/(B3-'属性输入'!F$11+10688)+95)/100,1)</f>
        <v>1</v>
      </c>
      <c r="D3" s="24">
        <f>'属性输入'!$B$27*C3*(1+('属性输入'!$I$25-'属性输入'!$J$11)*'属性输入'!$P$27)+0.5*'属性输入'!$B$27*(1-C3)</f>
        <v>19644.35872</v>
      </c>
      <c r="E3" s="98">
        <f t="shared" si="1"/>
        <v>0</v>
      </c>
      <c r="F3" s="15">
        <f t="shared" si="2"/>
        <v>0</v>
      </c>
      <c r="G3" s="24">
        <v>0.1</v>
      </c>
      <c r="Q3" s="24">
        <v>40.0</v>
      </c>
      <c r="R3" s="143">
        <f>Q3+'属性输入'!$G$25</f>
        <v>4440</v>
      </c>
      <c r="S3" s="24">
        <f>MIN((143*(R3-'属性输入'!$F$11)/(R3-'属性输入'!$F$11+10688)+95)/100,1)</f>
        <v>1</v>
      </c>
      <c r="T3" s="24">
        <f>'属性输入'!$B$27*S3*(1+('属性输入'!$I$25-'属性输入'!$J$11)*'属性输入'!$P$27)+0.5*'属性输入'!$B$27*(1-S3)</f>
        <v>19644.35872</v>
      </c>
      <c r="U3" s="98">
        <f t="shared" si="3"/>
        <v>0</v>
      </c>
      <c r="V3" s="15"/>
    </row>
    <row r="4" ht="14.25" customHeight="1">
      <c r="A4" s="143">
        <v>42.0</v>
      </c>
      <c r="B4" s="143">
        <f>A4+'属性输入'!$G$25</f>
        <v>4442</v>
      </c>
      <c r="C4" s="24">
        <f>MIN((143*(B4-'属性输入'!$F$11)/(B4-'属性输入'!F$11+10688)+95)/100,1)</f>
        <v>1</v>
      </c>
      <c r="D4" s="24">
        <f>'属性输入'!$B$27*C4*(1+('属性输入'!$I$25-'属性输入'!$J$11)*'属性输入'!$P$27)+0.5*'属性输入'!$B$27*(1-C4)</f>
        <v>19644.35872</v>
      </c>
      <c r="E4" s="98">
        <f t="shared" si="1"/>
        <v>0</v>
      </c>
      <c r="F4" s="15">
        <f t="shared" si="2"/>
        <v>0</v>
      </c>
      <c r="G4" s="24">
        <v>0.1</v>
      </c>
      <c r="Q4" s="24">
        <v>116.0</v>
      </c>
      <c r="R4" s="144">
        <f>R2+Q4</f>
        <v>4516</v>
      </c>
      <c r="S4" s="24">
        <f>MIN((143*(R4-'属性输入'!$F$11)/(R4-'属性输入'!$F$11+10688)+95)/100,1)</f>
        <v>1</v>
      </c>
      <c r="T4" s="24">
        <f>'属性输入'!$B$27*S4*(1+('属性输入'!$I$25-'属性输入'!$J$11)*'属性输入'!$P$27)+0.5*'属性输入'!$B$27*(1-S4)</f>
        <v>19644.35872</v>
      </c>
      <c r="U4" s="98">
        <f t="shared" si="3"/>
        <v>0</v>
      </c>
    </row>
    <row r="5" ht="14.25" customHeight="1">
      <c r="A5" s="24">
        <v>63.0</v>
      </c>
      <c r="B5" s="143">
        <f>A5+'属性输入'!$G$25</f>
        <v>4463</v>
      </c>
      <c r="C5" s="24">
        <f>MIN((143*(B5-'属性输入'!$F$11)/(B5-'属性输入'!F$11+10688)+95)/100,1)</f>
        <v>1</v>
      </c>
      <c r="D5" s="24">
        <f>'属性输入'!$B$27*C5*(1+('属性输入'!$I$25-'属性输入'!$J$11)*'属性输入'!$P$27)+0.5*'属性输入'!$B$27*(1-C5)</f>
        <v>19644.35872</v>
      </c>
      <c r="E5" s="98">
        <f t="shared" si="1"/>
        <v>0</v>
      </c>
      <c r="F5" s="15">
        <f t="shared" si="2"/>
        <v>0</v>
      </c>
      <c r="G5" s="24">
        <v>0.1</v>
      </c>
    </row>
    <row r="6" ht="14.25" customHeight="1">
      <c r="A6" s="143">
        <v>84.0</v>
      </c>
      <c r="B6" s="143">
        <f>A6+'属性输入'!$G$25</f>
        <v>4484</v>
      </c>
      <c r="C6" s="24">
        <f>MIN((143*(B6-'属性输入'!$F$11)/(B6-'属性输入'!F$11+10688)+95)/100,1)</f>
        <v>1</v>
      </c>
      <c r="D6" s="24">
        <f>'属性输入'!$B$27*C6*(1+('属性输入'!$I$25-'属性输入'!$J$11)*'属性输入'!$P$27)+0.5*'属性输入'!$B$27*(1-C6)</f>
        <v>19644.35872</v>
      </c>
      <c r="E6" s="98">
        <f t="shared" si="1"/>
        <v>0</v>
      </c>
      <c r="F6" s="15">
        <f t="shared" si="2"/>
        <v>0</v>
      </c>
      <c r="G6" s="24">
        <v>0.1</v>
      </c>
    </row>
    <row r="7" ht="14.25" customHeight="1">
      <c r="A7" s="24">
        <v>105.0</v>
      </c>
      <c r="B7" s="143">
        <f>A7+'属性输入'!$G$25</f>
        <v>4505</v>
      </c>
      <c r="C7" s="24">
        <f>MIN((143*(B7-'属性输入'!$F$11)/(B7-'属性输入'!F$11+10688)+95)/100,1)</f>
        <v>1</v>
      </c>
      <c r="D7" s="24">
        <f>'属性输入'!$B$27*C7*(1+('属性输入'!$I$25-'属性输入'!$J$11)*'属性输入'!$P$27)+0.5*'属性输入'!$B$27*(1-C7)</f>
        <v>19644.35872</v>
      </c>
      <c r="E7" s="98">
        <f t="shared" si="1"/>
        <v>0</v>
      </c>
      <c r="F7" s="15">
        <f t="shared" si="2"/>
        <v>0</v>
      </c>
      <c r="G7" s="24">
        <v>0.1</v>
      </c>
    </row>
    <row r="8" ht="14.25" customHeight="1">
      <c r="A8" s="143">
        <v>126.0</v>
      </c>
      <c r="B8" s="143">
        <f>A8+'属性输入'!$G$25</f>
        <v>4526</v>
      </c>
      <c r="C8" s="24">
        <f>MIN((143*(B8-'属性输入'!$F$11)/(B8-'属性输入'!F$11+10688)+95)/100,1)</f>
        <v>1</v>
      </c>
      <c r="D8" s="24">
        <f>'属性输入'!$B$27*C8*(1+('属性输入'!$I$25-'属性输入'!$J$11)*'属性输入'!$P$27)+0.5*'属性输入'!$B$27*(1-C8)</f>
        <v>19644.35872</v>
      </c>
      <c r="E8" s="98">
        <f t="shared" si="1"/>
        <v>0</v>
      </c>
      <c r="F8" s="15">
        <f t="shared" si="2"/>
        <v>0</v>
      </c>
      <c r="G8" s="24">
        <v>0.1</v>
      </c>
    </row>
    <row r="9" ht="14.25" customHeight="1">
      <c r="A9" s="24">
        <v>147.0</v>
      </c>
      <c r="B9" s="143">
        <f>A9+'属性输入'!$G$25</f>
        <v>4547</v>
      </c>
      <c r="C9" s="24">
        <f>MIN((143*(B9-'属性输入'!$F$11)/(B9-'属性输入'!F$11+10688)+95)/100,1)</f>
        <v>1</v>
      </c>
      <c r="D9" s="24">
        <f>'属性输入'!$B$27*C9*(1+('属性输入'!$I$25-'属性输入'!$J$11)*'属性输入'!$P$27)+0.5*'属性输入'!$B$27*(1-C9)</f>
        <v>19644.35872</v>
      </c>
      <c r="E9" s="98">
        <f t="shared" si="1"/>
        <v>0</v>
      </c>
      <c r="F9" s="15">
        <f t="shared" si="2"/>
        <v>0</v>
      </c>
      <c r="G9" s="24">
        <v>0.1</v>
      </c>
    </row>
    <row r="10" ht="14.25" customHeight="1">
      <c r="A10" s="143">
        <v>168.0</v>
      </c>
      <c r="B10" s="143">
        <f>A10+'属性输入'!$G$25</f>
        <v>4568</v>
      </c>
      <c r="C10" s="24">
        <f>MIN((143*(B10-'属性输入'!$F$11)/(B10-'属性输入'!F$11+10688)+95)/100,1)</f>
        <v>1</v>
      </c>
      <c r="D10" s="24">
        <f>'属性输入'!$B$27*C10*(1+('属性输入'!$I$25-'属性输入'!$J$11)*'属性输入'!$P$27)+0.5*'属性输入'!$B$27*(1-C10)</f>
        <v>19644.35872</v>
      </c>
      <c r="E10" s="98">
        <f t="shared" si="1"/>
        <v>0</v>
      </c>
      <c r="F10" s="15">
        <f t="shared" si="2"/>
        <v>0</v>
      </c>
      <c r="G10" s="24">
        <v>0.1</v>
      </c>
    </row>
    <row r="11" ht="14.25" customHeight="1">
      <c r="A11" s="24">
        <v>189.0</v>
      </c>
      <c r="B11" s="143">
        <f>A11+'属性输入'!$G$25</f>
        <v>4589</v>
      </c>
      <c r="C11" s="24">
        <f>MIN((143*(B11-'属性输入'!$F$11)/(B11-'属性输入'!F$11+10688)+95)/100,1)</f>
        <v>1</v>
      </c>
      <c r="D11" s="24">
        <f>'属性输入'!$B$27*C11*(1+('属性输入'!$I$25-'属性输入'!$J$11)*'属性输入'!$P$27)+0.5*'属性输入'!$B$27*(1-C11)</f>
        <v>19644.35872</v>
      </c>
      <c r="E11" s="98">
        <f t="shared" si="1"/>
        <v>0</v>
      </c>
      <c r="F11" s="15">
        <f t="shared" si="2"/>
        <v>0</v>
      </c>
      <c r="G11" s="24">
        <v>0.1</v>
      </c>
    </row>
    <row r="12" ht="14.25" customHeight="1">
      <c r="A12" s="143">
        <v>210.0</v>
      </c>
      <c r="B12" s="143">
        <f>A12+'属性输入'!$G$25</f>
        <v>4610</v>
      </c>
      <c r="C12" s="24">
        <f>MIN((143*(B12-'属性输入'!$F$11)/(B12-'属性输入'!F$11+10688)+95)/100,1)</f>
        <v>1</v>
      </c>
      <c r="D12" s="24">
        <f>'属性输入'!$B$27*C12*(1+('属性输入'!$I$25-'属性输入'!$J$11)*'属性输入'!$P$27)+0.5*'属性输入'!$B$27*(1-C12)</f>
        <v>19644.35872</v>
      </c>
      <c r="E12" s="98">
        <f t="shared" si="1"/>
        <v>0</v>
      </c>
      <c r="F12" s="15">
        <f t="shared" si="2"/>
        <v>0</v>
      </c>
      <c r="G12" s="24">
        <v>0.1</v>
      </c>
    </row>
    <row r="13" ht="14.25" customHeight="1">
      <c r="A13" s="24">
        <v>231.0</v>
      </c>
      <c r="B13" s="143">
        <f>A13+'属性输入'!$G$25</f>
        <v>4631</v>
      </c>
      <c r="C13" s="24">
        <f>MIN((143*(B13-'属性输入'!$F$11)/(B13-'属性输入'!F$11+10688)+95)/100,1)</f>
        <v>1</v>
      </c>
      <c r="D13" s="24">
        <f>'属性输入'!$B$27*C13*(1+('属性输入'!$I$25-'属性输入'!$J$11)*'属性输入'!$P$27)+0.5*'属性输入'!$B$27*(1-C13)</f>
        <v>19644.35872</v>
      </c>
      <c r="E13" s="98">
        <f t="shared" si="1"/>
        <v>0</v>
      </c>
      <c r="F13" s="15">
        <f t="shared" si="2"/>
        <v>0</v>
      </c>
      <c r="G13" s="24">
        <v>0.1</v>
      </c>
    </row>
    <row r="14" ht="14.25" customHeight="1">
      <c r="A14" s="143">
        <v>252.0</v>
      </c>
      <c r="B14" s="143">
        <f>A14+'属性输入'!$G$25</f>
        <v>4652</v>
      </c>
      <c r="C14" s="24">
        <f>MIN((143*(B14-'属性输入'!$F$11)/(B14-'属性输入'!F$11+10688)+95)/100,1)</f>
        <v>1</v>
      </c>
      <c r="D14" s="24">
        <f>'属性输入'!$B$27*C14*(1+('属性输入'!$I$25-'属性输入'!$J$11)*'属性输入'!$P$27)+0.5*'属性输入'!$B$27*(1-C14)</f>
        <v>19644.35872</v>
      </c>
      <c r="E14" s="98">
        <f t="shared" si="1"/>
        <v>0</v>
      </c>
      <c r="F14" s="15">
        <f t="shared" si="2"/>
        <v>0</v>
      </c>
      <c r="G14" s="24">
        <v>0.1</v>
      </c>
    </row>
    <row r="15" ht="14.25" customHeight="1">
      <c r="A15" s="24">
        <v>273.0</v>
      </c>
      <c r="B15" s="143">
        <f>A15+'属性输入'!$G$25</f>
        <v>4673</v>
      </c>
      <c r="C15" s="24">
        <f>MIN((143*(B15-'属性输入'!$F$11)/(B15-'属性输入'!F$11+10688)+95)/100,1)</f>
        <v>1</v>
      </c>
      <c r="D15" s="24">
        <f>'属性输入'!$B$27*C15*(1+('属性输入'!$I$25-'属性输入'!$J$11)*'属性输入'!$P$27)+0.5*'属性输入'!$B$27*(1-C15)</f>
        <v>19644.35872</v>
      </c>
      <c r="E15" s="98">
        <f t="shared" si="1"/>
        <v>0</v>
      </c>
      <c r="F15" s="15">
        <f t="shared" si="2"/>
        <v>0</v>
      </c>
      <c r="G15" s="24">
        <v>0.1</v>
      </c>
    </row>
    <row r="16" ht="14.25" customHeight="1">
      <c r="A16" s="143">
        <v>294.0</v>
      </c>
      <c r="B16" s="143">
        <f>A16+'属性输入'!$G$25</f>
        <v>4694</v>
      </c>
      <c r="C16" s="24">
        <f>MIN((143*(B16-'属性输入'!$F$11)/(B16-'属性输入'!F$11+10688)+95)/100,1)</f>
        <v>1</v>
      </c>
      <c r="D16" s="24">
        <f>'属性输入'!$B$27*C16*(1+('属性输入'!$I$25-'属性输入'!$J$11)*'属性输入'!$P$27)+0.5*'属性输入'!$B$27*(1-C16)</f>
        <v>19644.35872</v>
      </c>
      <c r="E16" s="98">
        <f t="shared" si="1"/>
        <v>0</v>
      </c>
      <c r="F16" s="15">
        <f t="shared" si="2"/>
        <v>0</v>
      </c>
      <c r="G16" s="24">
        <v>0.1</v>
      </c>
    </row>
    <row r="17" ht="14.25" customHeight="1">
      <c r="A17" s="24">
        <v>315.0</v>
      </c>
      <c r="B17" s="143">
        <f>A17+'属性输入'!$G$25</f>
        <v>4715</v>
      </c>
      <c r="C17" s="24">
        <f>MIN((143*(B17-'属性输入'!$F$11)/(B17-'属性输入'!F$11+10688)+95)/100,1)</f>
        <v>1</v>
      </c>
      <c r="D17" s="24">
        <f>'属性输入'!$B$27*C17*(1+('属性输入'!$I$25-'属性输入'!$J$11)*'属性输入'!$P$27)+0.5*'属性输入'!$B$27*(1-C17)</f>
        <v>19644.35872</v>
      </c>
      <c r="E17" s="98">
        <f t="shared" si="1"/>
        <v>0</v>
      </c>
      <c r="F17" s="15"/>
      <c r="G17" s="24">
        <v>0.1</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12.86"/>
    <col customWidth="1" min="4" max="4" width="13.29"/>
    <col customWidth="1" min="5" max="5" width="15.86"/>
    <col customWidth="1" min="6" max="6" width="22.57"/>
    <col customWidth="1" min="7" max="18" width="9.0"/>
    <col customWidth="1" min="19" max="22" width="12.86"/>
    <col customWidth="1" min="23" max="26" width="9.0"/>
  </cols>
  <sheetData>
    <row r="1" ht="14.25" customHeight="1">
      <c r="A1" s="24" t="s">
        <v>241</v>
      </c>
      <c r="B1" s="24" t="s">
        <v>114</v>
      </c>
      <c r="C1" s="24" t="s">
        <v>242</v>
      </c>
      <c r="D1" s="24" t="s">
        <v>238</v>
      </c>
      <c r="E1" s="24" t="s">
        <v>222</v>
      </c>
      <c r="F1" s="24" t="s">
        <v>243</v>
      </c>
      <c r="G1" s="24" t="s">
        <v>223</v>
      </c>
      <c r="Q1" s="24" t="s">
        <v>241</v>
      </c>
      <c r="R1" s="24" t="s">
        <v>114</v>
      </c>
      <c r="S1" s="24" t="s">
        <v>242</v>
      </c>
      <c r="T1" s="24" t="s">
        <v>238</v>
      </c>
      <c r="U1" s="24" t="s">
        <v>244</v>
      </c>
    </row>
    <row r="2" ht="14.25" customHeight="1">
      <c r="A2" s="143">
        <v>0.0</v>
      </c>
      <c r="B2" s="143">
        <f>A2+'属性输入'!$H$25</f>
        <v>4600</v>
      </c>
      <c r="C2" s="145">
        <f>((115*(B2-'属性输入'!$G$11)-200)/((B2-'属性输入'!$G$11)+2640))/100+'属性输入'!$J$25</f>
        <v>0.4952586207</v>
      </c>
      <c r="D2" s="24">
        <f>'属性输入'!$B$27*'属性输入'!$O$27*(1+('属性输入'!$I$25-'属性输入'!$J$11)*C2)+0.5*'属性输入'!$B$27*(1-'属性输入'!$O$27)</f>
        <v>19672.18702</v>
      </c>
      <c r="E2" s="98">
        <f t="shared" ref="E2:E21" si="1">(D2-$D$2)/$D$2</f>
        <v>0</v>
      </c>
      <c r="F2" s="15">
        <f t="shared" ref="F2:F20" si="2">(D3-D2)/D2</f>
        <v>0.00179858698</v>
      </c>
      <c r="G2" s="24">
        <v>0.1</v>
      </c>
      <c r="Q2" s="143">
        <v>0.0</v>
      </c>
      <c r="R2" s="143">
        <f>Q2+'属性输入'!$H$25</f>
        <v>4600</v>
      </c>
      <c r="S2" s="145">
        <f>((115*(R2-'属性输入'!$G$11)-200)/((R2-'属性输入'!$G$11)+2666))/100+'属性输入'!$J$25</f>
        <v>0.4924989284</v>
      </c>
      <c r="T2" s="24">
        <f>'属性输入'!$B$27*'属性输入'!$O$27*(1+('属性输入'!$I$25-'属性输入'!$J$11)*S2)+0.5*'属性输入'!$B$27*(1-'属性输入'!$O$27)</f>
        <v>19644.35872</v>
      </c>
      <c r="U2" s="15">
        <f>(T3-T2)/T2</f>
        <v>0.002868749435</v>
      </c>
    </row>
    <row r="3" ht="14.25" customHeight="1">
      <c r="A3" s="24">
        <v>25.0</v>
      </c>
      <c r="B3" s="143">
        <f>A3+'属性输入'!$H$25</f>
        <v>4625</v>
      </c>
      <c r="C3" s="145">
        <f>((115*(B3-'属性输入'!$G$11)-200)/((B3-'属性输入'!$G$11)+2640))/100+'属性输入'!$J$25</f>
        <v>0.4987674169</v>
      </c>
      <c r="D3" s="24">
        <f>'属性输入'!$B$27*'属性输入'!$O$27*(1+('属性输入'!$I$25-'属性输入'!$J$11)*C3)+0.5*'属性输入'!$B$27*(1-'属性输入'!$O$27)</f>
        <v>19707.56916</v>
      </c>
      <c r="E3" s="98">
        <f t="shared" si="1"/>
        <v>0.00179858698</v>
      </c>
      <c r="F3" s="15">
        <f t="shared" si="2"/>
        <v>0.001776217597</v>
      </c>
      <c r="G3" s="24">
        <v>0.1</v>
      </c>
      <c r="Q3" s="24">
        <v>40.0</v>
      </c>
      <c r="R3" s="143">
        <f>Q3+'属性输入'!$H$25</f>
        <v>4640</v>
      </c>
      <c r="S3" s="145">
        <f>((115*(R3-'属性输入'!$G$11)-200)/((R3-'属性输入'!$G$11)+2666))/100+'属性输入'!$J$25</f>
        <v>0.4980875478</v>
      </c>
      <c r="T3" s="24">
        <f>'属性输入'!$B$27*'属性输入'!$O$27*(1+('属性输入'!$I$25-'属性输入'!$J$11)*S3)+0.5*'属性输入'!$B$27*(1-'属性输入'!$O$27)</f>
        <v>19700.71347</v>
      </c>
      <c r="U3" s="15"/>
    </row>
    <row r="4" ht="14.25" customHeight="1">
      <c r="A4" s="143">
        <v>50.0</v>
      </c>
      <c r="B4" s="143">
        <f>A4+'属性输入'!$H$25</f>
        <v>4650</v>
      </c>
      <c r="C4" s="145">
        <f>((115*(B4-'属性输入'!$G$11)-200)/((B4-'属性输入'!$G$11)+2640))/100+'属性输入'!$J$25</f>
        <v>0.502238806</v>
      </c>
      <c r="D4" s="24">
        <f>'属性输入'!$B$27*'属性输入'!$O$27*(1+('属性输入'!$I$25-'属性输入'!$J$11)*C4)+0.5*'属性输入'!$B$27*(1-'属性输入'!$O$27)</f>
        <v>19742.57409</v>
      </c>
      <c r="E4" s="98">
        <f t="shared" si="1"/>
        <v>0.003577999258</v>
      </c>
      <c r="F4" s="15">
        <f t="shared" si="2"/>
        <v>0.001754265821</v>
      </c>
      <c r="G4" s="24">
        <v>0.1</v>
      </c>
      <c r="Q4" s="24">
        <v>137.0</v>
      </c>
      <c r="R4" s="143">
        <f>Q4+'属性输入'!$H$25</f>
        <v>4737</v>
      </c>
      <c r="S4" s="145">
        <f>((115*(R4-'属性输入'!$G$11)-200)/((R4-'属性输入'!$G$11)+2666))/100+'属性输入'!$J$25</f>
        <v>0.5112533833</v>
      </c>
      <c r="T4" s="24">
        <f>'属性输入'!$B$27*'属性输入'!$O$27*(1+('属性输入'!$I$25-'属性输入'!$J$11)*S4)+0.5*'属性输入'!$B$27*(1-'属性输入'!$O$27)</f>
        <v>19833.47564</v>
      </c>
      <c r="V4" s="24">
        <f>(T4-T2)/T2</f>
        <v>0.009627034528</v>
      </c>
    </row>
    <row r="5" ht="14.25" customHeight="1">
      <c r="A5" s="24">
        <v>75.0</v>
      </c>
      <c r="B5" s="143">
        <f>A5+'属性输入'!$H$25</f>
        <v>4675</v>
      </c>
      <c r="C5" s="145">
        <f>((115*(B5-'属性输入'!$G$11)-200)/((B5-'属性输入'!$G$11)+2640))/100+'属性输入'!$J$25</f>
        <v>0.5056733828</v>
      </c>
      <c r="D5" s="24">
        <f>'属性输入'!$B$27*'属性输入'!$O$27*(1+('属性输入'!$I$25-'属性输入'!$J$11)*C5)+0.5*'属性输入'!$B$27*(1-'属性输入'!$O$27)</f>
        <v>19777.20781</v>
      </c>
      <c r="E5" s="98">
        <f t="shared" si="1"/>
        <v>0.005338541841</v>
      </c>
      <c r="F5" s="15">
        <f t="shared" si="2"/>
        <v>0.001732721254</v>
      </c>
      <c r="G5" s="24">
        <v>0.1</v>
      </c>
      <c r="Q5" s="24">
        <v>100.0</v>
      </c>
      <c r="R5" s="143">
        <f>Q5+'属性输入'!$H$25</f>
        <v>4700</v>
      </c>
      <c r="S5" s="145">
        <f>((115*(R5-'属性输入'!$G$11)-200)/((R5-'属性输入'!$G$11)+2666))/100+'属性输入'!$J$25</f>
        <v>0.5062945867</v>
      </c>
      <c r="T5" s="24">
        <f>'属性输入'!$B$27*'属性输入'!$O$27*(1+('属性输入'!$I$25-'属性输入'!$J$11)*S5)+0.5*'属性输入'!$B$27*(1-'属性输入'!$O$27)</f>
        <v>19783.47193</v>
      </c>
      <c r="U5" s="24">
        <f>(T5-T2)/T2</f>
        <v>0.007081585629</v>
      </c>
    </row>
    <row r="6" ht="14.25" customHeight="1">
      <c r="A6" s="143">
        <v>100.0</v>
      </c>
      <c r="B6" s="143">
        <f>A6+'属性输入'!$H$25</f>
        <v>4700</v>
      </c>
      <c r="C6" s="145">
        <f>((115*(B6-'属性输入'!$G$11)-200)/((B6-'属性输入'!$G$11)+2640))/100+'属性输入'!$J$25</f>
        <v>0.50907173</v>
      </c>
      <c r="D6" s="24">
        <f>'属性输入'!$B$27*'属性输入'!$O$27*(1+('属性输入'!$I$25-'属性输入'!$J$11)*C6)+0.5*'属性输入'!$B$27*(1-'属性输入'!$O$27)</f>
        <v>19811.4762</v>
      </c>
      <c r="E6" s="98">
        <f t="shared" si="1"/>
        <v>0.0070805133</v>
      </c>
      <c r="F6" s="15">
        <f t="shared" si="2"/>
        <v>0.001711573818</v>
      </c>
      <c r="G6" s="24">
        <v>0.1</v>
      </c>
    </row>
    <row r="7" ht="14.25" customHeight="1">
      <c r="A7" s="24">
        <v>125.0</v>
      </c>
      <c r="B7" s="143">
        <f>A7+'属性输入'!$H$25</f>
        <v>4725</v>
      </c>
      <c r="C7" s="145">
        <f>((115*(B7-'属性输入'!$G$11)-200)/((B7-'属性输入'!$G$11)+2640))/100+'属性输入'!$J$25</f>
        <v>0.5124344176</v>
      </c>
      <c r="D7" s="24">
        <f>'属性输入'!$B$27*'属性输入'!$O$27*(1+('属性输入'!$I$25-'属性输入'!$J$11)*C7)+0.5*'属性输入'!$B$27*(1-'属性输入'!$O$27)</f>
        <v>19845.385</v>
      </c>
      <c r="E7" s="98">
        <f t="shared" si="1"/>
        <v>0.00880420594</v>
      </c>
      <c r="F7" s="15">
        <f t="shared" si="2"/>
        <v>0.001690813751</v>
      </c>
      <c r="G7" s="24">
        <v>0.1</v>
      </c>
    </row>
    <row r="8" ht="14.25" customHeight="1">
      <c r="A8" s="143">
        <v>150.0</v>
      </c>
      <c r="B8" s="143">
        <f>A8+'属性输入'!$H$25</f>
        <v>4750</v>
      </c>
      <c r="C8" s="145">
        <f>((115*(B8-'属性输入'!$G$11)-200)/((B8-'属性输入'!$G$11)+2640))/100+'属性输入'!$J$25</f>
        <v>0.5157620042</v>
      </c>
      <c r="D8" s="24">
        <f>'属性输入'!$B$27*'属性输入'!$O$27*(1+('属性输入'!$I$25-'属性输入'!$J$11)*C8)+0.5*'属性输入'!$B$27*(1-'属性输入'!$O$27)</f>
        <v>19878.93985</v>
      </c>
      <c r="E8" s="98">
        <f t="shared" si="1"/>
        <v>0.01050990596</v>
      </c>
      <c r="F8" s="15">
        <f t="shared" si="2"/>
        <v>0.001670431587</v>
      </c>
      <c r="G8" s="24">
        <v>0.1</v>
      </c>
    </row>
    <row r="9" ht="14.25" customHeight="1">
      <c r="A9" s="24">
        <v>175.0</v>
      </c>
      <c r="B9" s="143">
        <f>A9+'属性输入'!$H$25</f>
        <v>4775</v>
      </c>
      <c r="C9" s="145">
        <f>((115*(B9-'属性输入'!$G$11)-200)/((B9-'属性输入'!$G$11)+2640))/100+'属性输入'!$J$25</f>
        <v>0.5190550363</v>
      </c>
      <c r="D9" s="24">
        <f>'属性输入'!$B$27*'属性输入'!$O$27*(1+('属性输入'!$I$25-'属性输入'!$J$11)*C9)+0.5*'属性输入'!$B$27*(1-'属性输入'!$O$27)</f>
        <v>19912.14626</v>
      </c>
      <c r="E9" s="98">
        <f t="shared" si="1"/>
        <v>0.01219789363</v>
      </c>
      <c r="F9" s="15">
        <f t="shared" si="2"/>
        <v>0.001650418152</v>
      </c>
      <c r="G9" s="24">
        <v>0.1</v>
      </c>
    </row>
    <row r="10" ht="14.25" customHeight="1">
      <c r="A10" s="143">
        <v>200.0</v>
      </c>
      <c r="B10" s="143">
        <f>A10+'属性输入'!$H$25</f>
        <v>4800</v>
      </c>
      <c r="C10" s="145">
        <f>((115*(B10-'属性输入'!$G$11)-200)/((B10-'属性输入'!$G$11)+2640))/100+'属性输入'!$J$25</f>
        <v>0.5223140496</v>
      </c>
      <c r="D10" s="24">
        <f>'属性输入'!$B$27*'属性输入'!$O$27*(1+('属性输入'!$I$25-'属性输入'!$J$11)*C10)+0.5*'属性输入'!$B$27*(1-'属性输入'!$O$27)</f>
        <v>19945.00963</v>
      </c>
      <c r="E10" s="98">
        <f t="shared" si="1"/>
        <v>0.01386844341</v>
      </c>
      <c r="F10" s="15">
        <f t="shared" si="2"/>
        <v>0.001630764549</v>
      </c>
      <c r="G10" s="24">
        <v>0.1</v>
      </c>
    </row>
    <row r="11" ht="14.25" customHeight="1">
      <c r="A11" s="24">
        <v>225.0</v>
      </c>
      <c r="B11" s="143">
        <f>A11+'属性输入'!$H$25</f>
        <v>4825</v>
      </c>
      <c r="C11" s="145">
        <f>((115*(B11-'属性输入'!$G$11)-200)/((B11-'属性输入'!$G$11)+2640))/100+'属性输入'!$J$25</f>
        <v>0.5255395683</v>
      </c>
      <c r="D11" s="24">
        <f>'属性输入'!$B$27*'属性输入'!$O$27*(1+('属性输入'!$I$25-'属性输入'!$J$11)*C11)+0.5*'属性输入'!$B$27*(1-'属性输入'!$O$27)</f>
        <v>19977.53524</v>
      </c>
      <c r="E11" s="98">
        <f t="shared" si="1"/>
        <v>0.01552182412</v>
      </c>
      <c r="F11" s="15">
        <f t="shared" si="2"/>
        <v>0.001611462149</v>
      </c>
      <c r="G11" s="24">
        <v>0.1</v>
      </c>
    </row>
    <row r="12" ht="14.25" customHeight="1">
      <c r="A12" s="143">
        <v>250.0</v>
      </c>
      <c r="B12" s="143">
        <f>A12+'属性输入'!$H$25</f>
        <v>4850</v>
      </c>
      <c r="C12" s="145">
        <f>((115*(B12-'属性输入'!$G$11)-200)/((B12-'属性输入'!$G$11)+2640))/100+'属性输入'!$J$25</f>
        <v>0.5287321063</v>
      </c>
      <c r="D12" s="24">
        <f>'属性输入'!$B$27*'属性输入'!$O$27*(1+('属性输入'!$I$25-'属性输入'!$J$11)*C12)+0.5*'属性输入'!$B$27*(1-'属性输入'!$O$27)</f>
        <v>20009.72829</v>
      </c>
      <c r="E12" s="98">
        <f t="shared" si="1"/>
        <v>0.0171582991</v>
      </c>
      <c r="F12" s="15">
        <f t="shared" si="2"/>
        <v>0.001592502584</v>
      </c>
      <c r="G12" s="24">
        <v>0.1</v>
      </c>
    </row>
    <row r="13" ht="14.25" customHeight="1">
      <c r="A13" s="24">
        <v>275.0</v>
      </c>
      <c r="B13" s="143">
        <f>A13+'属性输入'!$H$25</f>
        <v>4875</v>
      </c>
      <c r="C13" s="145">
        <f>((115*(B13-'属性输入'!$G$11)-200)/((B13-'属性输入'!$G$11)+2640))/100+'属性输入'!$J$25</f>
        <v>0.5318921668</v>
      </c>
      <c r="D13" s="24">
        <f>'属性输入'!$B$27*'属性输入'!$O$27*(1+('属性输入'!$I$25-'属性输入'!$J$11)*C13)+0.5*'属性输入'!$B$27*(1-'属性输入'!$O$27)</f>
        <v>20041.59383</v>
      </c>
      <c r="E13" s="98">
        <f t="shared" si="1"/>
        <v>0.01877812632</v>
      </c>
      <c r="F13" s="15">
        <f t="shared" si="2"/>
        <v>0.001573877732</v>
      </c>
      <c r="G13" s="24">
        <v>0.1</v>
      </c>
    </row>
    <row r="14" ht="14.25" customHeight="1">
      <c r="A14" s="143">
        <v>300.0</v>
      </c>
      <c r="B14" s="143">
        <f>A14+'属性输入'!$H$25</f>
        <v>4900</v>
      </c>
      <c r="C14" s="145">
        <f>((115*(B14-'属性输入'!$G$11)-200)/((B14-'属性输入'!$G$11)+2640))/100+'属性输入'!$J$25</f>
        <v>0.5350202429</v>
      </c>
      <c r="D14" s="24">
        <f>'属性输入'!$B$27*'属性输入'!$O$27*(1+('属性输入'!$I$25-'属性输入'!$J$11)*C14)+0.5*'属性输入'!$B$27*(1-'属性输入'!$O$27)</f>
        <v>20073.13685</v>
      </c>
      <c r="E14" s="98">
        <f t="shared" si="1"/>
        <v>0.02038155853</v>
      </c>
      <c r="F14" s="15">
        <f t="shared" si="2"/>
        <v>0.001555579714</v>
      </c>
      <c r="G14" s="24">
        <v>0.1</v>
      </c>
    </row>
    <row r="15" ht="14.25" customHeight="1">
      <c r="A15" s="143">
        <v>325.0</v>
      </c>
      <c r="B15" s="143">
        <f>A15+'属性输入'!$H$25</f>
        <v>4925</v>
      </c>
      <c r="C15" s="145">
        <f>((115*(B15-'属性输入'!$G$11)-200)/((B15-'属性输入'!$G$11)+2640))/100+'属性输入'!$J$25</f>
        <v>0.5381168177</v>
      </c>
      <c r="D15" s="24">
        <f>'属性输入'!$B$27*'属性输入'!$O$27*(1+('属性输入'!$I$25-'属性输入'!$J$11)*C15)+0.5*'属性输入'!$B$27*(1-'属性输入'!$O$27)</f>
        <v>20104.36221</v>
      </c>
      <c r="E15" s="98">
        <f t="shared" si="1"/>
        <v>0.02196884338</v>
      </c>
      <c r="F15" s="15">
        <f t="shared" si="2"/>
        <v>0.001537600883</v>
      </c>
      <c r="G15" s="24">
        <v>0.1</v>
      </c>
    </row>
    <row r="16" ht="14.25" customHeight="1">
      <c r="A16" s="24">
        <v>350.0</v>
      </c>
      <c r="B16" s="143">
        <f>A16+'属性输入'!$H$25</f>
        <v>4950</v>
      </c>
      <c r="C16" s="145">
        <f>((115*(B16-'属性输入'!$G$11)-200)/((B16-'属性输入'!$G$11)+2640))/100+'属性输入'!$J$25</f>
        <v>0.5411823647</v>
      </c>
      <c r="D16" s="24">
        <f>'属性输入'!$B$27*'属性输入'!$O$27*(1+('属性输入'!$I$25-'属性输入'!$J$11)*C16)+0.5*'属性输入'!$B$27*(1-'属性输入'!$O$27)</f>
        <v>20135.2747</v>
      </c>
      <c r="E16" s="98">
        <f t="shared" si="1"/>
        <v>0.02354022358</v>
      </c>
      <c r="F16" s="15">
        <f t="shared" si="2"/>
        <v>0.001519933812</v>
      </c>
      <c r="G16" s="24">
        <v>0.1</v>
      </c>
    </row>
    <row r="17" ht="14.25" customHeight="1">
      <c r="A17" s="143">
        <v>375.0</v>
      </c>
      <c r="B17" s="143">
        <f>A17+'属性输入'!$H$25</f>
        <v>4975</v>
      </c>
      <c r="C17" s="145">
        <f>((115*(B17-'属性输入'!$G$11)-200)/((B17-'属性输入'!$G$11)+2640))/100+'属性输入'!$J$25</f>
        <v>0.544217348</v>
      </c>
      <c r="D17" s="24">
        <f>'属性输入'!$B$27*'属性输入'!$O$27*(1+('属性输入'!$I$25-'属性输入'!$J$11)*C17)+0.5*'属性输入'!$B$27*(1-'属性输入'!$O$27)</f>
        <v>20165.87898</v>
      </c>
      <c r="E17" s="98">
        <f t="shared" si="1"/>
        <v>0.02509593697</v>
      </c>
      <c r="F17" s="15">
        <f t="shared" si="2"/>
        <v>0.001502571295</v>
      </c>
      <c r="G17" s="24">
        <v>0.1</v>
      </c>
    </row>
    <row r="18" ht="14.25" customHeight="1">
      <c r="A18" s="143">
        <v>400.0</v>
      </c>
      <c r="B18" s="143">
        <f>A18+'属性输入'!$H$25</f>
        <v>5000</v>
      </c>
      <c r="C18" s="145">
        <f>((115*(B18-'属性输入'!$G$11)-200)/((B18-'属性输入'!$G$11)+2640))/100+'属性输入'!$J$25</f>
        <v>0.5472222222</v>
      </c>
      <c r="D18" s="24">
        <f>'属性输入'!$B$27*'属性输入'!$O$27*(1+('属性输入'!$I$25-'属性输入'!$J$11)*C18)+0.5*'属性输入'!$B$27*(1-'属性输入'!$O$27)</f>
        <v>20196.17965</v>
      </c>
      <c r="E18" s="98">
        <f t="shared" si="1"/>
        <v>0.0266362167</v>
      </c>
      <c r="F18" s="15">
        <f t="shared" si="2"/>
        <v>0.00148550633</v>
      </c>
      <c r="G18" s="24">
        <v>0.1</v>
      </c>
    </row>
    <row r="19" ht="14.25" customHeight="1">
      <c r="A19" s="24">
        <v>425.0</v>
      </c>
      <c r="B19" s="143">
        <f>A19+'属性输入'!$H$25</f>
        <v>5025</v>
      </c>
      <c r="C19" s="145">
        <f>((115*(B19-'属性输入'!$G$11)-200)/((B19-'属性输入'!$G$11)+2640))/100+'属性输入'!$J$25</f>
        <v>0.5501974334</v>
      </c>
      <c r="D19" s="24">
        <f>'属性输入'!$B$27*'属性输入'!$O$27*(1+('属性输入'!$I$25-'属性输入'!$J$11)*C19)+0.5*'属性输入'!$B$27*(1-'属性输入'!$O$27)</f>
        <v>20226.18121</v>
      </c>
      <c r="E19" s="98">
        <f t="shared" si="1"/>
        <v>0.0281612913</v>
      </c>
      <c r="F19" s="15">
        <f t="shared" si="2"/>
        <v>0.001468732119</v>
      </c>
      <c r="G19" s="24">
        <v>0.1</v>
      </c>
    </row>
    <row r="20" ht="14.25" customHeight="1">
      <c r="A20" s="143">
        <v>450.0</v>
      </c>
      <c r="B20" s="143">
        <f>A20+'属性输入'!$H$25</f>
        <v>5050</v>
      </c>
      <c r="C20" s="145">
        <f>((115*(B20-'属性输入'!$G$11)-200)/((B20-'属性输入'!$G$11)+2640))/100+'属性输入'!$J$25</f>
        <v>0.5531434185</v>
      </c>
      <c r="D20" s="24">
        <f>'属性输入'!$B$27*'属性输入'!$O$27*(1+('属性输入'!$I$25-'属性输入'!$J$11)*C20)+0.5*'属性输入'!$B$27*(1-'属性输入'!$O$27)</f>
        <v>20255.88805</v>
      </c>
      <c r="E20" s="98">
        <f t="shared" si="1"/>
        <v>0.02967138481</v>
      </c>
      <c r="F20" s="15">
        <f t="shared" si="2"/>
        <v>0.001452242057</v>
      </c>
      <c r="G20" s="24">
        <v>0.1</v>
      </c>
    </row>
    <row r="21" ht="14.25" customHeight="1">
      <c r="A21" s="143">
        <v>475.0</v>
      </c>
      <c r="B21" s="143">
        <f>A21+'属性输入'!$H$25</f>
        <v>5075</v>
      </c>
      <c r="C21" s="145">
        <f>((115*(B21-'属性输入'!$G$11)-200)/((B21-'属性输入'!$G$11)+2640))/100+'属性输入'!$J$25</f>
        <v>0.5560606061</v>
      </c>
      <c r="D21" s="24">
        <f>'属性输入'!$B$27*'属性输入'!$O$27*(1+('属性输入'!$I$25-'属性输入'!$J$11)*C21)+0.5*'属性输入'!$B$27*(1-'属性输入'!$O$27)</f>
        <v>20285.3045</v>
      </c>
      <c r="E21" s="98">
        <f t="shared" si="1"/>
        <v>0.0311667169</v>
      </c>
      <c r="G21" s="24">
        <v>0.1</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2023-07-24T16:44:00Z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9AAA2846D9F04FD48D375FC46ABE5346_13</vt:lpwstr>
  </property>
  <property fmtid="{D5CDD505-2E9C-101B-9397-08002B2CF9AE}" pid="3" name="KSOProductBuildVer">
    <vt:lpwstr>2052-12.1.0.19770</vt:lpwstr>
  </property>
</Properties>
</file>